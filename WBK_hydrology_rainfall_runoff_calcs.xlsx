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5d329a912e4a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Index" sheetId="1" r:id="Rae1b54effa1f4b7c"/>
    <x:sheet xmlns:r="http://schemas.openxmlformats.org/officeDocument/2006/relationships" name="City_Criteria_Paste" sheetId="2" r:id="R29aa40a200fb40e7"/>
    <x:sheet xmlns:r="http://schemas.openxmlformats.org/officeDocument/2006/relationships" name="Prelim_Catchments" sheetId="3" r:id="R41fa90c97f0444cd"/>
    <x:sheet xmlns:r="http://schemas.openxmlformats.org/officeDocument/2006/relationships" name="Rational_Calcs" sheetId="4" r:id="R00fe424aaf204948"/>
    <x:sheet xmlns:r="http://schemas.openxmlformats.org/officeDocument/2006/relationships" name="Pipe_Capacity_Prelim" sheetId="5" r:id="Rd30ec23f68b246ba"/>
    <x:sheet xmlns:r="http://schemas.openxmlformats.org/officeDocument/2006/relationships" name="Inlet_Spread" sheetId="6" r:id="Rd9d2f5cabf204a63"/>
    <x:sheet xmlns:r="http://schemas.openxmlformats.org/officeDocument/2006/relationships" name="Revision_Log" sheetId="7" r:id="R8463a89bfcbc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d5a46f85fe38469d" /><Relationship Type="http://schemas.openxmlformats.org/officeDocument/2006/relationships/theme" Target="/xl/theme/theme1.xml" Id="R076a4f63a7784d56" /><Relationship Type="http://schemas.openxmlformats.org/officeDocument/2006/relationships/sharedStrings" Target="/xl/sharedStrings.xml" Id="Rffa5cf0a88394cdb" /><Relationship Type="http://schemas.openxmlformats.org/officeDocument/2006/relationships/worksheet" Target="/xl/worksheets/sheet1.xml" Id="Rae1b54effa1f4b7c" /><Relationship Type="http://schemas.openxmlformats.org/officeDocument/2006/relationships/worksheet" Target="/xl/worksheets/sheet2.xml" Id="R29aa40a200fb40e7" /><Relationship Type="http://schemas.openxmlformats.org/officeDocument/2006/relationships/worksheet" Target="/xl/worksheets/sheet3.xml" Id="R41fa90c97f0444cd" /><Relationship Type="http://schemas.openxmlformats.org/officeDocument/2006/relationships/worksheet" Target="/xl/worksheets/sheet4.xml" Id="R00fe424aaf204948" /><Relationship Type="http://schemas.openxmlformats.org/officeDocument/2006/relationships/worksheet" Target="/xl/worksheets/sheet5.xml" Id="Rd30ec23f68b246ba" /><Relationship Type="http://schemas.openxmlformats.org/officeDocument/2006/relationships/worksheet" Target="/xl/worksheets/sheet6.xml" Id="Rd9d2f5cabf204a63" /><Relationship Type="http://schemas.openxmlformats.org/officeDocument/2006/relationships/worksheet" Target="/xl/worksheets/sheet7.xml" Id="R8463a89bfcbc4577" /></Relationships>
</file>

<file path=xl/theme/theme1.xml><?xml version="1.0" encoding="utf-8"?>
<a:theme xmlns:a="http://schemas.openxmlformats.org/drawingml/2006/main" name="Westbrook">
  <a:themeElements>
    <a:clrScheme name="Westbrook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estbrook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3.630000114440918" hidden="0" customWidth="1"/>
    <x:col min="3" max="3" width="13.130000114440918" hidden="0" customWidth="1"/>
    <x:col min="4" max="4" width="19.8799991607666" hidden="0" customWidth="1"/>
  </x:cols>
  <x:sheetData>
    <x:row r="1">
      <x:c r="A1" s="4" t="str">
        <x:v>source_file</x:v>
      </x:c>
      <x:c r="B1" s="4" t="str">
        <x:v>sheet_or_section</x:v>
      </x:c>
      <x:c r="C1" s="4" t="str">
        <x:v>source_id_range</x:v>
      </x:c>
      <x:c r="D1" s="4" t="str">
        <x:v>use_in_hydrology_record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t="str">
        <x:v>WBK_city_design_criteria_excerpt.docx</x:v>
      </x:c>
      <x:c r="B2" t="str">
        <x:v>Drainage criteria tables</x:v>
      </x:c>
      <x:c r="C2" t="str">
        <x:v>CRIT-D1 to CRIT-D18</x:v>
      </x:c>
      <x:c r="D2" t="str">
        <x:v>Controls design storm, rainfall intensity, spread, minimum slope, and ponding depth.</x:v>
      </x:c>
    </x:row>
    <x:row r="3">
      <x:c r="A3" t="str">
        <x:v>WBK_topographic_survey_points.csv</x:v>
      </x:c>
      <x:c r="B3" t="str">
        <x:v>Survey point rows</x:v>
      </x:c>
      <x:c r="C3" t="str">
        <x:v>SV-001 to SV-137</x:v>
      </x:c>
      <x:c r="D3" t="str">
        <x:v>Controls measured rim, invert, gutter elevation, and stationing.</x:v>
      </x:c>
    </x:row>
    <x:row r="4">
      <x:c r="A4" t="str">
        <x:v>WBK_storm_network_inspection_log.csv</x:v>
      </x:c>
      <x:c r="B4" t="str">
        <x:v>Inspection rows</x:v>
      </x:c>
      <x:c r="C4" t="str">
        <x:v>INSP-001 to INSP-050</x:v>
      </x:c>
      <x:c r="D4" t="str">
        <x:v>Controls observed diameter, condition, sediment, and field slope notes.</x:v>
      </x:c>
    </x:row>
    <x:row r="5">
      <x:c r="A5" t="str">
        <x:v>WBK_asset_inventory_and_station_control.csv</x:v>
      </x:c>
      <x:c r="B5" t="str">
        <x:v>Asset rows</x:v>
      </x:c>
      <x:c r="C5" t="str">
        <x:v>AS-001 to AS-050</x:v>
      </x:c>
      <x:c r="D5" t="str">
        <x:v>Controls identity crosswalk where not superseded by survey or RFI.</x:v>
      </x:c>
    </x:row>
    <x:row r="6">
      <x:c r="A6" t="str">
        <x:v>WBK_public_complaints_and_flood_photos.pdf</x:v>
      </x:c>
      <x:c r="B6" t="str">
        <x:v>Complaint tables</x:v>
      </x:c>
      <x:c r="C6" t="str">
        <x:v>PC-001 to PC-022</x:v>
      </x:c>
      <x:c r="D6" t="str">
        <x:v>Supports observed flood location and timing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1.380000114440918" hidden="0" customWidth="1"/>
    <x:col min="3" max="3" width="8.5" hidden="0" customWidth="1"/>
    <x:col min="4" max="4" width="4.630000114440918" hidden="0" customWidth="1"/>
    <x:col min="5" max="5" width="3.630000114440918" hidden="0" customWidth="1"/>
    <x:col min="6" max="6" width="4.130000114440918" hidden="0" customWidth="1"/>
  </x:cols>
  <x:sheetData>
    <x:row r="1">
      <x:c r="A1" s="4" t="str">
        <x:v>source_id</x:v>
      </x:c>
      <x:c r="B1" s="4" t="str">
        <x:v>criteria_group</x:v>
      </x:c>
      <x:c r="C1" s="4" t="str">
        <x:v>parameter</x:v>
      </x:c>
      <x:c r="D1" s="4" t="str">
        <x:v>value</x:v>
      </x:c>
      <x:c r="E1" s="4" t="str">
        <x:v>unit</x:v>
      </x:c>
      <x:c r="F1" s="4" t="str">
        <x:v>note</x:v>
      </x:c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t="str">
        <x:v>CRIT-D1</x:v>
      </x:c>
      <x:c r="B2" t="str">
        <x:v>drainage</x:v>
      </x:c>
      <x:c r="C2" t="str">
        <x:v>collector sag point design storm</x:v>
      </x:c>
      <x:c r="D2" t="n">
        <x:v>25</x:v>
      </x:c>
      <x:c r="E2" t="str">
        <x:v>year</x:v>
      </x:c>
      <x:c r="F2" t="str">
        <x:v>Westbrook Avenue is classified as urban collector with sag-point flooding.</x:v>
      </x:c>
    </x:row>
    <x:row r="3">
      <x:c r="A3" t="str">
        <x:v>CRIT-D2</x:v>
      </x:c>
      <x:c r="B3" t="str">
        <x:v>drainage</x:v>
      </x:c>
      <x:c r="C3" t="str">
        <x:v>on-grade inlet design storm</x:v>
      </x:c>
      <x:c r="D3" t="n">
        <x:v>10</x:v>
      </x:c>
      <x:c r="E3" t="str">
        <x:v>year</x:v>
      </x:c>
      <x:c r="F3" t="str">
        <x:v>Applies only where overflow path is available.</x:v>
      </x:c>
    </x:row>
    <x:row r="4">
      <x:c r="A4" t="str">
        <x:v>CRIT-D3</x:v>
      </x:c>
      <x:c r="B4" t="str">
        <x:v>IDF</x:v>
      </x:c>
      <x:c r="C4" t="str">
        <x:v>10-year intensity at Tc=12 min</x:v>
      </x:c>
      <x:c r="D4" t="n">
        <x:v>72</x:v>
      </x:c>
      <x:c r="E4" t="str">
        <x:v>mm/h</x:v>
      </x:c>
      <x:c r="F4" t="str">
        <x:v>Preliminary workbook uses this value.</x:v>
      </x:c>
    </x:row>
    <x:row r="5">
      <x:c r="A5" t="str">
        <x:v>CRIT-D4</x:v>
      </x:c>
      <x:c r="B5" t="str">
        <x:v>IDF</x:v>
      </x:c>
      <x:c r="C5" t="str">
        <x:v>25-year intensity at Tc=12 min</x:v>
      </x:c>
      <x:c r="D5" t="n">
        <x:v>91</x:v>
      </x:c>
      <x:c r="E5" t="str">
        <x:v>mm/h</x:v>
      </x:c>
      <x:c r="F5" t="str">
        <x:v>Required at station 0+735 sag point.</x:v>
      </x:c>
    </x:row>
    <x:row r="6">
      <x:c r="A6" t="str">
        <x:v>CRIT-D5</x:v>
      </x:c>
      <x:c r="B6" t="str">
        <x:v>runoff</x:v>
      </x:c>
      <x:c r="C6" t="str">
        <x:v>minimum urban collector runoff coefficient</x:v>
      </x:c>
      <x:c r="D6" t="n">
        <x:v>0.78</x:v>
      </x:c>
      <x:c r="E6" t="str">
        <x:v>ratio</x:v>
      </x:c>
      <x:c r="F6" t="str">
        <x:v>Use for mixed commercial/residential with connected impervious area.</x:v>
      </x:c>
    </x:row>
    <x:row r="7">
      <x:c r="A7" t="str">
        <x:v>CRIT-D6</x:v>
      </x:c>
      <x:c r="B7" t="str">
        <x:v>spread</x:v>
      </x:c>
      <x:c r="C7" t="str">
        <x:v>allowable spread at collector sag</x:v>
      </x:c>
      <x:c r="D7" t="n">
        <x:v>2.4</x:v>
      </x:c>
      <x:c r="E7" t="str">
        <x:v>m</x:v>
      </x:c>
      <x:c r="F7" t="str">
        <x:v>Maximum spread within one travel lane.</x:v>
      </x:c>
    </x:row>
    <x:row r="8">
      <x:c r="A8" t="str">
        <x:v>CRIT-D7</x:v>
      </x:c>
      <x:c r="B8" t="str">
        <x:v>ponding</x:v>
      </x:c>
      <x:c r="C8" t="str">
        <x:v>maximum sag ponding depth</x:v>
      </x:c>
      <x:c r="D8" t="n">
        <x:v>0.15</x:v>
      </x:c>
      <x:c r="E8" t="str">
        <x:v>m</x:v>
      </x:c>
      <x:c r="F8" t="str">
        <x:v>Depth measured above gutter low point.</x:v>
      </x:c>
    </x:row>
    <x:row r="9">
      <x:c r="A9" t="str">
        <x:v>CRIT-D8</x:v>
      </x:c>
      <x:c r="B9" t="str">
        <x:v>pipe slope</x:v>
      </x:c>
      <x:c r="C9" t="str">
        <x:v>minimum slope for 450 mm RCP</x:v>
      </x:c>
      <x:c r="D9" t="n">
        <x:v>0.4</x:v>
      </x:c>
      <x:c r="E9" t="str">
        <x:v>percent</x:v>
      </x:c>
      <x:c r="F9" t="str">
        <x:v>Applies to new 450 mm storm pipe segments.</x:v>
      </x:c>
    </x:row>
    <x:row r="10">
      <x:c r="A10" t="str">
        <x:v>CRIT-D9</x:v>
      </x:c>
      <x:c r="B10" t="str">
        <x:v>hydraulics</x:v>
      </x:c>
      <x:c r="C10" t="str">
        <x:v>Manning n for RCP</x:v>
      </x:c>
      <x:c r="D10" t="n">
        <x:v>0.013</x:v>
      </x:c>
      <x:c r="E10" t="str">
        <x:v>unitless</x:v>
      </x:c>
      <x:c r="F10" t="str">
        <x:v>Use for capacity comparison.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880000114440918" hidden="0" customWidth="1"/>
    <x:col min="3" max="3" width="10" hidden="0" customWidth="1"/>
    <x:col min="4" max="4" width="8.25" hidden="0" customWidth="1"/>
    <x:col min="5" max="5" width="14.25" hidden="0" customWidth="1"/>
    <x:col min="6" max="6" width="14.5" hidden="0" customWidth="1"/>
    <x:col min="7" max="7" width="10.25" hidden="0" customWidth="1"/>
    <x:col min="8" max="8" width="19.5" hidden="0" customWidth="1"/>
    <x:col min="9" max="9" width="21.1299991607666" hidden="0" customWidth="1"/>
    <x:col min="10" max="10" width="4.75" hidden="0" customWidth="1"/>
  </x:cols>
  <x:sheetData>
    <x:row r="1">
      <x:c r="A1" s="4" t="str">
        <x:v>source_id</x:v>
      </x:c>
      <x:c r="B1" s="4" t="str">
        <x:v>catchment_id</x:v>
      </x:c>
      <x:c r="C1" s="4" t="str">
        <x:v>outlet_asset</x:v>
      </x:c>
      <x:c r="D1" s="4" t="str">
        <x:v>station_m</x:v>
      </x:c>
      <x:c r="E1" s="4" t="str">
        <x:v>drainage_area_ha</x:v>
      </x:c>
      <x:c r="F1" s="4" t="str">
        <x:v>runoff_coeff_used</x:v>
      </x:c>
      <x:c r="G1" s="4" t="str">
        <x:v>tc_min_used</x:v>
      </x:c>
      <x:c r="H1" s="4" t="str">
        <x:v>storm_return_used_year</x:v>
      </x:c>
      <x:c r="I1" s="4" t="str">
        <x:v>idf_intensity_used_mm_hr</x:v>
      </x:c>
      <x:c r="J1" s="4" t="str">
        <x:v>notes</x:v>
      </x:c>
      <x:c r="K1" s="4"/>
      <x:c r="L1" s="4"/>
      <x:c r="M1" s="4"/>
      <x:c r="N1" s="4"/>
      <x:c r="O1" s="4"/>
    </x:row>
    <x:row r="2">
      <x:c r="A2" t="str">
        <x:v>HYD-C001</x:v>
      </x:c>
      <x:c r="B2" t="str">
        <x:v>DA-01</x:v>
      </x:c>
      <x:c r="C2" t="str">
        <x:v>CB-01</x:v>
      </x:c>
      <x:c r="D2" t="n">
        <x:v>280</x:v>
      </x:c>
      <x:c r="E2" t="n">
        <x:v>0.51</x:v>
      </x:c>
      <x:c r="F2" t="n">
        <x:v>0.64</x:v>
      </x:c>
      <x:c r="G2" t="n">
        <x:v>12</x:v>
      </x:c>
      <x:c r="H2" t="n">
        <x:v>10</x:v>
      </x:c>
      <x:c r="I2" t="n">
        <x:v>72</x:v>
      </x:c>
      <x:c r="J2" t="str">
        <x:v>Standard preliminary subcatchment.</x:v>
      </x:c>
    </x:row>
    <x:row r="3">
      <x:c r="A3" t="str">
        <x:v>HYD-C002</x:v>
      </x:c>
      <x:c r="B3" t="str">
        <x:v>DA-02</x:v>
      </x:c>
      <x:c r="C3" t="str">
        <x:v>CB-01</x:v>
      </x:c>
      <x:c r="D3" t="n">
        <x:v>310</x:v>
      </x:c>
      <x:c r="E3" t="n">
        <x:v>0.67</x:v>
      </x:c>
      <x:c r="F3" t="n">
        <x:v>0.66</x:v>
      </x:c>
      <x:c r="G3" t="n">
        <x:v>14</x:v>
      </x:c>
      <x:c r="H3" t="n">
        <x:v>10</x:v>
      </x:c>
      <x:c r="I3" t="n">
        <x:v>66</x:v>
      </x:c>
      <x:c r="J3" t="str">
        <x:v>Standard preliminary subcatchment.</x:v>
      </x:c>
    </x:row>
    <x:row r="4">
      <x:c r="A4" t="str">
        <x:v>HYD-C003</x:v>
      </x:c>
      <x:c r="B4" t="str">
        <x:v>DA-03</x:v>
      </x:c>
      <x:c r="C4" t="str">
        <x:v>CB-02</x:v>
      </x:c>
      <x:c r="D4" t="n">
        <x:v>340</x:v>
      </x:c>
      <x:c r="E4" t="n">
        <x:v>0.83</x:v>
      </x:c>
      <x:c r="F4" t="n">
        <x:v>0.6799999999999999</x:v>
      </x:c>
      <x:c r="G4" t="n">
        <x:v>16</x:v>
      </x:c>
      <x:c r="H4" t="n">
        <x:v>10</x:v>
      </x:c>
      <x:c r="I4" t="n">
        <x:v>66</x:v>
      </x:c>
      <x:c r="J4" t="str">
        <x:v>Standard preliminary subcatchment.</x:v>
      </x:c>
    </x:row>
    <x:row r="5">
      <x:c r="A5" t="str">
        <x:v>HYD-C004</x:v>
      </x:c>
      <x:c r="B5" t="str">
        <x:v>DA-04</x:v>
      </x:c>
      <x:c r="C5" t="str">
        <x:v>CB-03</x:v>
      </x:c>
      <x:c r="D5" t="n">
        <x:v>370</x:v>
      </x:c>
      <x:c r="E5" t="n">
        <x:v>0.99</x:v>
      </x:c>
      <x:c r="F5" t="n">
        <x:v>0.7</x:v>
      </x:c>
      <x:c r="G5" t="n">
        <x:v>10</x:v>
      </x:c>
      <x:c r="H5" t="n">
        <x:v>10</x:v>
      </x:c>
      <x:c r="I5" t="n">
        <x:v>78</x:v>
      </x:c>
      <x:c r="J5" t="str">
        <x:v>Standard preliminary subcatchment.</x:v>
      </x:c>
    </x:row>
    <x:row r="6">
      <x:c r="A6" t="str">
        <x:v>HYD-C005</x:v>
      </x:c>
      <x:c r="B6" t="str">
        <x:v>DA-05</x:v>
      </x:c>
      <x:c r="C6" t="str">
        <x:v>CB-04</x:v>
      </x:c>
      <x:c r="D6" t="n">
        <x:v>400</x:v>
      </x:c>
      <x:c r="E6" t="n">
        <x:v>1.15</x:v>
      </x:c>
      <x:c r="F6" t="n">
        <x:v>0.62</x:v>
      </x:c>
      <x:c r="G6" t="n">
        <x:v>12</x:v>
      </x:c>
      <x:c r="H6" t="n">
        <x:v>10</x:v>
      </x:c>
      <x:c r="I6" t="n">
        <x:v>72</x:v>
      </x:c>
      <x:c r="J6" t="str">
        <x:v>Standard preliminary subcatchment.</x:v>
      </x:c>
    </x:row>
    <x:row r="7">
      <x:c r="A7" t="str">
        <x:v>HYD-C006</x:v>
      </x:c>
      <x:c r="B7" t="str">
        <x:v>DA-06</x:v>
      </x:c>
      <x:c r="C7" t="str">
        <x:v>CB-04</x:v>
      </x:c>
      <x:c r="D7" t="n">
        <x:v>430</x:v>
      </x:c>
      <x:c r="E7" t="n">
        <x:v>1.31</x:v>
      </x:c>
      <x:c r="F7" t="n">
        <x:v>0.64</x:v>
      </x:c>
      <x:c r="G7" t="n">
        <x:v>14</x:v>
      </x:c>
      <x:c r="H7" t="n">
        <x:v>10</x:v>
      </x:c>
      <x:c r="I7" t="n">
        <x:v>66</x:v>
      </x:c>
      <x:c r="J7" t="str">
        <x:v>Standard preliminary subcatchment.</x:v>
      </x:c>
    </x:row>
    <x:row r="8">
      <x:c r="A8" t="str">
        <x:v>HYD-C007</x:v>
      </x:c>
      <x:c r="B8" t="str">
        <x:v>DA-07</x:v>
      </x:c>
      <x:c r="C8" t="str">
        <x:v>CB-05</x:v>
      </x:c>
      <x:c r="D8" t="n">
        <x:v>460</x:v>
      </x:c>
      <x:c r="E8" t="n">
        <x:v>0.35</x:v>
      </x:c>
      <x:c r="F8" t="n">
        <x:v>0.66</x:v>
      </x:c>
      <x:c r="G8" t="n">
        <x:v>16</x:v>
      </x:c>
      <x:c r="H8" t="n">
        <x:v>10</x:v>
      </x:c>
      <x:c r="I8" t="n">
        <x:v>66</x:v>
      </x:c>
      <x:c r="J8" t="str">
        <x:v>Standard preliminary subcatchment.</x:v>
      </x:c>
    </x:row>
    <x:row r="9">
      <x:c r="A9" t="str">
        <x:v>HYD-C008</x:v>
      </x:c>
      <x:c r="B9" t="str">
        <x:v>DA-08</x:v>
      </x:c>
      <x:c r="C9" t="str">
        <x:v>CB-06</x:v>
      </x:c>
      <x:c r="D9" t="n">
        <x:v>490</x:v>
      </x:c>
      <x:c r="E9" t="n">
        <x:v>0.51</x:v>
      </x:c>
      <x:c r="F9" t="n">
        <x:v>0.6799999999999999</x:v>
      </x:c>
      <x:c r="G9" t="n">
        <x:v>10</x:v>
      </x:c>
      <x:c r="H9" t="n">
        <x:v>10</x:v>
      </x:c>
      <x:c r="I9" t="n">
        <x:v>78</x:v>
      </x:c>
      <x:c r="J9" t="str">
        <x:v>Standard preliminary subcatchment.</x:v>
      </x:c>
    </x:row>
    <x:row r="10">
      <x:c r="A10" t="str">
        <x:v>HYD-C009</x:v>
      </x:c>
      <x:c r="B10" t="str">
        <x:v>DA-09</x:v>
      </x:c>
      <x:c r="C10" t="str">
        <x:v>CB-07</x:v>
      </x:c>
      <x:c r="D10" t="n">
        <x:v>520</x:v>
      </x:c>
      <x:c r="E10" t="n">
        <x:v>0.67</x:v>
      </x:c>
      <x:c r="F10" t="n">
        <x:v>0.7</x:v>
      </x:c>
      <x:c r="G10" t="n">
        <x:v>12</x:v>
      </x:c>
      <x:c r="H10" t="n">
        <x:v>10</x:v>
      </x:c>
      <x:c r="I10" t="n">
        <x:v>72</x:v>
      </x:c>
      <x:c r="J10" t="str">
        <x:v>Standard preliminary subcatchment.</x:v>
      </x:c>
    </x:row>
    <x:row r="11">
      <x:c r="A11" t="str">
        <x:v>HYD-C010</x:v>
      </x:c>
      <x:c r="B11" t="str">
        <x:v>DA-10</x:v>
      </x:c>
      <x:c r="C11" t="str">
        <x:v>CB-08</x:v>
      </x:c>
      <x:c r="D11" t="n">
        <x:v>550</x:v>
      </x:c>
      <x:c r="E11" t="n">
        <x:v>0.83</x:v>
      </x:c>
      <x:c r="F11" t="n">
        <x:v>0.62</x:v>
      </x:c>
      <x:c r="G11" t="n">
        <x:v>14</x:v>
      </x:c>
      <x:c r="H11" t="n">
        <x:v>10</x:v>
      </x:c>
      <x:c r="I11" t="n">
        <x:v>66</x:v>
      </x:c>
      <x:c r="J11" t="str">
        <x:v>Standard preliminary subcatchment.</x:v>
      </x:c>
    </x:row>
    <x:row r="12">
      <x:c r="A12" t="str">
        <x:v>HYD-C011</x:v>
      </x:c>
      <x:c r="B12" t="str">
        <x:v>DA-11</x:v>
      </x:c>
      <x:c r="C12" t="str">
        <x:v>CB-08</x:v>
      </x:c>
      <x:c r="D12" t="n">
        <x:v>580</x:v>
      </x:c>
      <x:c r="E12" t="n">
        <x:v>0.99</x:v>
      </x:c>
      <x:c r="F12" t="n">
        <x:v>0.64</x:v>
      </x:c>
      <x:c r="G12" t="n">
        <x:v>16</x:v>
      </x:c>
      <x:c r="H12" t="n">
        <x:v>10</x:v>
      </x:c>
      <x:c r="I12" t="n">
        <x:v>66</x:v>
      </x:c>
      <x:c r="J12" t="str">
        <x:v>Standard preliminary subcatchment.</x:v>
      </x:c>
    </x:row>
    <x:row r="13">
      <x:c r="A13" t="str">
        <x:v>HYD-C012</x:v>
      </x:c>
      <x:c r="B13" t="str">
        <x:v>DA-12</x:v>
      </x:c>
      <x:c r="C13" t="str">
        <x:v>CB-09</x:v>
      </x:c>
      <x:c r="D13" t="n">
        <x:v>610</x:v>
      </x:c>
      <x:c r="E13" t="n">
        <x:v>1.15</x:v>
      </x:c>
      <x:c r="F13" t="n">
        <x:v>0.66</x:v>
      </x:c>
      <x:c r="G13" t="n">
        <x:v>10</x:v>
      </x:c>
      <x:c r="H13" t="n">
        <x:v>10</x:v>
      </x:c>
      <x:c r="I13" t="n">
        <x:v>78</x:v>
      </x:c>
      <x:c r="J13" t="str">
        <x:v>Standard preliminary subcatchment.</x:v>
      </x:c>
    </x:row>
    <x:row r="14">
      <x:c r="A14" t="str">
        <x:v>HYD-C013</x:v>
      </x:c>
      <x:c r="B14" t="str">
        <x:v>DA-13</x:v>
      </x:c>
      <x:c r="C14" t="str">
        <x:v>CB-10</x:v>
      </x:c>
      <x:c r="D14" t="n">
        <x:v>640</x:v>
      </x:c>
      <x:c r="E14" t="n">
        <x:v>1.31</x:v>
      </x:c>
      <x:c r="F14" t="n">
        <x:v>0.6799999999999999</x:v>
      </x:c>
      <x:c r="G14" t="n">
        <x:v>12</x:v>
      </x:c>
      <x:c r="H14" t="n">
        <x:v>10</x:v>
      </x:c>
      <x:c r="I14" t="n">
        <x:v>72</x:v>
      </x:c>
      <x:c r="J14" t="str">
        <x:v>Standard preliminary subcatchment.</x:v>
      </x:c>
    </x:row>
    <x:row r="15">
      <x:c r="A15" t="str">
        <x:v>HYD-C014</x:v>
      </x:c>
      <x:c r="B15" t="str">
        <x:v>DA-14</x:v>
      </x:c>
      <x:c r="C15" t="str">
        <x:v>CB-11</x:v>
      </x:c>
      <x:c r="D15" t="n">
        <x:v>670</x:v>
      </x:c>
      <x:c r="E15" t="n">
        <x:v>0.35</x:v>
      </x:c>
      <x:c r="F15" t="n">
        <x:v>0.7</x:v>
      </x:c>
      <x:c r="G15" t="n">
        <x:v>14</x:v>
      </x:c>
      <x:c r="H15" t="n">
        <x:v>10</x:v>
      </x:c>
      <x:c r="I15" t="n">
        <x:v>66</x:v>
      </x:c>
      <x:c r="J15" t="str">
        <x:v>Standard preliminary subcatchment.</x:v>
      </x:c>
    </x:row>
    <x:row r="16">
      <x:c r="A16" t="str">
        <x:v>HYD-C015</x:v>
      </x:c>
      <x:c r="B16" t="str">
        <x:v>DA-15</x:v>
      </x:c>
      <x:c r="C16" t="str">
        <x:v>CB-12</x:v>
      </x:c>
      <x:c r="D16" t="n">
        <x:v>700</x:v>
      </x:c>
      <x:c r="E16" t="n">
        <x:v>0.51</x:v>
      </x:c>
      <x:c r="F16" t="n">
        <x:v>0.62</x:v>
      </x:c>
      <x:c r="G16" t="n">
        <x:v>16</x:v>
      </x:c>
      <x:c r="H16" t="n">
        <x:v>10</x:v>
      </x:c>
      <x:c r="I16" t="n">
        <x:v>66</x:v>
      </x:c>
      <x:c r="J16" t="str">
        <x:v>Standard preliminary subcatchment.</x:v>
      </x:c>
    </x:row>
    <x:row r="17">
      <x:c r="A17" t="str">
        <x:v>HYD-C016</x:v>
      </x:c>
      <x:c r="B17" t="str">
        <x:v>DA-16</x:v>
      </x:c>
      <x:c r="C17" t="str">
        <x:v>CB-12</x:v>
      </x:c>
      <x:c r="D17" t="n">
        <x:v>730</x:v>
      </x:c>
      <x:c r="E17" t="n">
        <x:v>0.67</x:v>
      </x:c>
      <x:c r="F17" t="n">
        <x:v>0.64</x:v>
      </x:c>
      <x:c r="G17" t="n">
        <x:v>10</x:v>
      </x:c>
      <x:c r="H17" t="n">
        <x:v>10</x:v>
      </x:c>
      <x:c r="I17" t="n">
        <x:v>78</x:v>
      </x:c>
      <x:c r="J17" t="str">
        <x:v>Standard preliminary subcatchment.</x:v>
      </x:c>
    </x:row>
    <x:row r="18">
      <x:c r="A18" t="str">
        <x:v>HYD-C017</x:v>
      </x:c>
      <x:c r="B18" t="str">
        <x:v>DA-17</x:v>
      </x:c>
      <x:c r="C18" t="str">
        <x:v>CB-14</x:v>
      </x:c>
      <x:c r="D18" t="n">
        <x:v>735.4</x:v>
      </x:c>
      <x:c r="E18" t="n">
        <x:v>1.1</x:v>
      </x:c>
      <x:c r="F18" t="n">
        <x:v>0.7</x:v>
      </x:c>
      <x:c r="G18" t="n">
        <x:v>12</x:v>
      </x:c>
      <x:c r="H18" t="n">
        <x:v>10</x:v>
      </x:c>
      <x:c r="I18" t="n">
        <x:v>72</x:v>
      </x:c>
      <x:c r="J18" t="str">
        <x:v>Preliminary model treats sag point as 10-year on-grade inlet; city criteria requires 25-year sag check.</x:v>
      </x:c>
    </x:row>
    <x:row r="19">
      <x:c r="A19" t="str">
        <x:v>HYD-C018</x:v>
      </x:c>
      <x:c r="B19" t="str">
        <x:v>DA-18</x:v>
      </x:c>
      <x:c r="C19" t="str">
        <x:v>CB-14</x:v>
      </x:c>
      <x:c r="D19" t="n">
        <x:v>790</x:v>
      </x:c>
      <x:c r="E19" t="n">
        <x:v>0.99</x:v>
      </x:c>
      <x:c r="F19" t="n">
        <x:v>0.6799999999999999</x:v>
      </x:c>
      <x:c r="G19" t="n">
        <x:v>14</x:v>
      </x:c>
      <x:c r="H19" t="n">
        <x:v>10</x:v>
      </x:c>
      <x:c r="I19" t="n">
        <x:v>66</x:v>
      </x:c>
      <x:c r="J19" t="str">
        <x:v>Standard preliminary subcatchment.</x:v>
      </x:c>
    </x:row>
    <x:row r="20">
      <x:c r="A20" t="str">
        <x:v>HYD-C019</x:v>
      </x:c>
      <x:c r="B20" t="str">
        <x:v>DA-19</x:v>
      </x:c>
      <x:c r="C20" t="str">
        <x:v>CB-15</x:v>
      </x:c>
      <x:c r="D20" t="n">
        <x:v>820</x:v>
      </x:c>
      <x:c r="E20" t="n">
        <x:v>1.15</x:v>
      </x:c>
      <x:c r="F20" t="n">
        <x:v>0.7</x:v>
      </x:c>
      <x:c r="G20" t="n">
        <x:v>16</x:v>
      </x:c>
      <x:c r="H20" t="n">
        <x:v>10</x:v>
      </x:c>
      <x:c r="I20" t="n">
        <x:v>66</x:v>
      </x:c>
      <x:c r="J20" t="str">
        <x:v>Standard preliminary subcatchment.</x:v>
      </x:c>
    </x:row>
    <x:row r="21">
      <x:c r="A21" t="str">
        <x:v>HYD-C020</x:v>
      </x:c>
      <x:c r="B21" t="str">
        <x:v>DA-20</x:v>
      </x:c>
      <x:c r="C21" t="str">
        <x:v>BUS-STOP-SB-0820</x:v>
      </x:c>
      <x:c r="D21" t="n">
        <x:v>820</x:v>
      </x:c>
      <x:c r="E21" t="n">
        <x:v>0.42</x:v>
      </x:c>
      <x:c r="F21" t="n">
        <x:v>0.66</x:v>
      </x:c>
      <x:c r="G21" t="n">
        <x:v>12</x:v>
      </x:c>
      <x:c r="H21" t="n">
        <x:v>10</x:v>
      </x:c>
      <x:c r="I21" t="n">
        <x:v>72</x:v>
      </x:c>
      <x:c r="J21" t="str">
        <x:v>Bus stop complaint catchment separated from station 0+735 sag point.</x:v>
      </x:c>
    </x:row>
    <x:row r="22">
      <x:c r="A22" t="str">
        <x:v>HYD-C021</x:v>
      </x:c>
      <x:c r="B22" t="str">
        <x:v>DA-21</x:v>
      </x:c>
      <x:c r="C22" t="str">
        <x:v>CB-16</x:v>
      </x:c>
      <x:c r="D22" t="n">
        <x:v>880</x:v>
      </x:c>
      <x:c r="E22" t="n">
        <x:v>0.35</x:v>
      </x:c>
      <x:c r="F22" t="n">
        <x:v>0.64</x:v>
      </x:c>
      <x:c r="G22" t="n">
        <x:v>12</x:v>
      </x:c>
      <x:c r="H22" t="n">
        <x:v>10</x:v>
      </x:c>
      <x:c r="I22" t="n">
        <x:v>72</x:v>
      </x:c>
      <x:c r="J22" t="str">
        <x:v>Standard preliminary subcatchment.</x:v>
      </x:c>
    </x:row>
    <x:row r="23">
      <x:c r="A23" t="str">
        <x:v>HYD-C022</x:v>
      </x:c>
      <x:c r="B23" t="str">
        <x:v>DA-22</x:v>
      </x:c>
      <x:c r="C23" t="str">
        <x:v>CB-17</x:v>
      </x:c>
      <x:c r="D23" t="n">
        <x:v>910</x:v>
      </x:c>
      <x:c r="E23" t="n">
        <x:v>0.51</x:v>
      </x:c>
      <x:c r="F23" t="n">
        <x:v>0.66</x:v>
      </x:c>
      <x:c r="G23" t="n">
        <x:v>14</x:v>
      </x:c>
      <x:c r="H23" t="n">
        <x:v>10</x:v>
      </x:c>
      <x:c r="I23" t="n">
        <x:v>66</x:v>
      </x:c>
      <x:c r="J23" t="str">
        <x:v>Standard preliminary subcatchment.</x:v>
      </x:c>
    </x:row>
    <x:row r="24">
      <x:c r="A24" t="str">
        <x:v>HYD-C023</x:v>
      </x:c>
      <x:c r="B24" t="str">
        <x:v>DA-23</x:v>
      </x:c>
      <x:c r="C24" t="str">
        <x:v>CB-18</x:v>
      </x:c>
      <x:c r="D24" t="n">
        <x:v>940</x:v>
      </x:c>
      <x:c r="E24" t="n">
        <x:v>0.67</x:v>
      </x:c>
      <x:c r="F24" t="n">
        <x:v>0.6799999999999999</x:v>
      </x:c>
      <x:c r="G24" t="n">
        <x:v>16</x:v>
      </x:c>
      <x:c r="H24" t="n">
        <x:v>10</x:v>
      </x:c>
      <x:c r="I24" t="n">
        <x:v>66</x:v>
      </x:c>
      <x:c r="J24" t="str">
        <x:v>Standard preliminary subcatchment.</x:v>
      </x:c>
    </x:row>
    <x:row r="25">
      <x:c r="A25" t="str">
        <x:v>HYD-C024</x:v>
      </x:c>
      <x:c r="B25" t="str">
        <x:v>DA-24</x:v>
      </x:c>
      <x:c r="C25" t="str">
        <x:v>CB-19</x:v>
      </x:c>
      <x:c r="D25" t="n">
        <x:v>970</x:v>
      </x:c>
      <x:c r="E25" t="n">
        <x:v>0.83</x:v>
      </x:c>
      <x:c r="F25" t="n">
        <x:v>0.7</x:v>
      </x:c>
      <x:c r="G25" t="n">
        <x:v>10</x:v>
      </x:c>
      <x:c r="H25" t="n">
        <x:v>10</x:v>
      </x:c>
      <x:c r="I25" t="n">
        <x:v>78</x:v>
      </x:c>
      <x:c r="J25" t="str">
        <x:v>Standard preliminary subcatchment.</x:v>
      </x:c>
    </x:row>
    <x:row r="26">
      <x:c r="A26" t="str">
        <x:v>HYD-C025</x:v>
      </x:c>
      <x:c r="B26" t="str">
        <x:v>DA-25</x:v>
      </x:c>
      <x:c r="C26" t="str">
        <x:v>CB-20</x:v>
      </x:c>
      <x:c r="D26" t="n">
        <x:v>1000</x:v>
      </x:c>
      <x:c r="E26" t="n">
        <x:v>0.99</x:v>
      </x:c>
      <x:c r="F26" t="n">
        <x:v>0.62</x:v>
      </x:c>
      <x:c r="G26" t="n">
        <x:v>12</x:v>
      </x:c>
      <x:c r="H26" t="n">
        <x:v>10</x:v>
      </x:c>
      <x:c r="I26" t="n">
        <x:v>72</x:v>
      </x:c>
      <x:c r="J26" t="str">
        <x:v>Standard preliminary subcatchment.</x:v>
      </x:c>
    </x:row>
    <x:row r="27">
      <x:c r="A27" t="str">
        <x:v>HYD-C026</x:v>
      </x:c>
      <x:c r="B27" t="str">
        <x:v>DA-26</x:v>
      </x:c>
      <x:c r="C27" t="str">
        <x:v>CB-20</x:v>
      </x:c>
      <x:c r="D27" t="n">
        <x:v>1030</x:v>
      </x:c>
      <x:c r="E27" t="n">
        <x:v>1.15</x:v>
      </x:c>
      <x:c r="F27" t="n">
        <x:v>0.64</x:v>
      </x:c>
      <x:c r="G27" t="n">
        <x:v>14</x:v>
      </x:c>
      <x:c r="H27" t="n">
        <x:v>10</x:v>
      </x:c>
      <x:c r="I27" t="n">
        <x:v>66</x:v>
      </x:c>
      <x:c r="J27" t="str">
        <x:v>Standard preliminary subcatchment.</x:v>
      </x:c>
    </x:row>
    <x:row r="28">
      <x:c r="A28" t="str">
        <x:v>HYD-C027</x:v>
      </x:c>
      <x:c r="B28" t="str">
        <x:v>DA-27</x:v>
      </x:c>
      <x:c r="C28" t="str">
        <x:v>CB-21</x:v>
      </x:c>
      <x:c r="D28" t="n">
        <x:v>1060</x:v>
      </x:c>
      <x:c r="E28" t="n">
        <x:v>1.31</x:v>
      </x:c>
      <x:c r="F28" t="n">
        <x:v>0.66</x:v>
      </x:c>
      <x:c r="G28" t="n">
        <x:v>16</x:v>
      </x:c>
      <x:c r="H28" t="n">
        <x:v>10</x:v>
      </x:c>
      <x:c r="I28" t="n">
        <x:v>66</x:v>
      </x:c>
      <x:c r="J28" t="str">
        <x:v>Standard preliminary subcatchment.</x:v>
      </x:c>
    </x:row>
    <x:row r="29">
      <x:c r="A29" t="str">
        <x:v>HYD-C028</x:v>
      </x:c>
      <x:c r="B29" t="str">
        <x:v>DA-28</x:v>
      </x:c>
      <x:c r="C29" t="str">
        <x:v>CB-22</x:v>
      </x:c>
      <x:c r="D29" t="n">
        <x:v>1090</x:v>
      </x:c>
      <x:c r="E29" t="n">
        <x:v>0.35</x:v>
      </x:c>
      <x:c r="F29" t="n">
        <x:v>0.6799999999999999</x:v>
      </x:c>
      <x:c r="G29" t="n">
        <x:v>10</x:v>
      </x:c>
      <x:c r="H29" t="n">
        <x:v>10</x:v>
      </x:c>
      <x:c r="I29" t="n">
        <x:v>78</x:v>
      </x:c>
      <x:c r="J29" t="str">
        <x:v>Standard preliminary subcatchment.</x:v>
      </x:c>
    </x:row>
    <x:row r="30">
      <x:c r="A30" t="str">
        <x:v>HYD-C029</x:v>
      </x:c>
      <x:c r="B30" t="str">
        <x:v>DA-29</x:v>
      </x:c>
      <x:c r="C30" t="str">
        <x:v>CB-23</x:v>
      </x:c>
      <x:c r="D30" t="n">
        <x:v>1120</x:v>
      </x:c>
      <x:c r="E30" t="n">
        <x:v>0.51</x:v>
      </x:c>
      <x:c r="F30" t="n">
        <x:v>0.7</x:v>
      </x:c>
      <x:c r="G30" t="n">
        <x:v>12</x:v>
      </x:c>
      <x:c r="H30" t="n">
        <x:v>10</x:v>
      </x:c>
      <x:c r="I30" t="n">
        <x:v>72</x:v>
      </x:c>
      <x:c r="J30" t="str">
        <x:v>Standard preliminary subcatchment.</x:v>
      </x:c>
    </x:row>
    <x:row r="31">
      <x:c r="A31" t="str">
        <x:v>HYD-C030</x:v>
      </x:c>
      <x:c r="B31" t="str">
        <x:v>DA-30</x:v>
      </x:c>
      <x:c r="C31" t="str">
        <x:v>CB-24</x:v>
      </x:c>
      <x:c r="D31" t="n">
        <x:v>1150</x:v>
      </x:c>
      <x:c r="E31" t="n">
        <x:v>0.67</x:v>
      </x:c>
      <x:c r="F31" t="n">
        <x:v>0.62</x:v>
      </x:c>
      <x:c r="G31" t="n">
        <x:v>14</x:v>
      </x:c>
      <x:c r="H31" t="n">
        <x:v>10</x:v>
      </x:c>
      <x:c r="I31" t="n">
        <x:v>66</x:v>
      </x:c>
      <x:c r="J31" t="str">
        <x:v>Standard preliminary subcatchment.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880000114440918" hidden="0" customWidth="1"/>
    <x:col min="3" max="3" width="10" hidden="0" customWidth="1"/>
    <x:col min="4" max="4" width="6.75" hidden="0" customWidth="1"/>
    <x:col min="5" max="5" width="5.880000114440918" hidden="0" customWidth="1"/>
    <x:col min="6" max="6" width="12" hidden="0" customWidth="1"/>
    <x:col min="7" max="7" width="12.380000114440918" hidden="0" customWidth="1"/>
    <x:col min="8" max="8" width="17" hidden="0" customWidth="1"/>
    <x:col min="9" max="9" width="14.880000114440918" hidden="0" customWidth="1"/>
    <x:col min="10" max="10" width="8.75" hidden="0" customWidth="1"/>
    <x:col min="11" max="11" width="12.880000114440918" hidden="0" customWidth="1"/>
    <x:col min="12" max="12" width="18" hidden="0" customWidth="1"/>
  </x:cols>
  <x:sheetData>
    <x:row r="1">
      <x:c r="A1" s="4" t="str">
        <x:v>source_id</x:v>
      </x:c>
      <x:c r="B1" s="4" t="str">
        <x:v>catchment_id</x:v>
      </x:c>
      <x:c r="C1" s="4" t="str">
        <x:v>outlet_asset</x:v>
      </x:c>
      <x:c r="D1" s="4" t="str">
        <x:v>area_ha</x:v>
      </x:c>
      <x:c r="E1" s="4" t="str">
        <x:v>c_used</x:v>
      </x:c>
      <x:c r="F1" s="4" t="str">
        <x:v>i_used_mm_hr</x:v>
      </x:c>
      <x:c r="G1" s="4" t="str">
        <x:v>q_prelim_m3_s</x:v>
      </x:c>
      <x:c r="H1" s="4" t="str">
        <x:v>required_return_year</x:v>
      </x:c>
      <x:c r="I1" s="4" t="str">
        <x:v>required_i_mm_hr</x:v>
      </x:c>
      <x:c r="J1" s="4" t="str">
        <x:v>required_c</x:v>
      </x:c>
      <x:c r="K1" s="4" t="str">
        <x:v>q_criteria_m3_s</x:v>
      </x:c>
      <x:c r="L1" s="4" t="str">
        <x:v>criteria_mismatch_flag</x:v>
      </x:c>
      <x:c r="M1" s="4"/>
      <x:c r="N1" s="4"/>
      <x:c r="O1" s="4"/>
    </x:row>
    <x:row r="2">
      <x:c r="A2" t="str">
        <x:v>HYD-C001</x:v>
      </x:c>
      <x:c r="B2" t="str">
        <x:v>DA-01</x:v>
      </x:c>
      <x:c r="C2" t="str">
        <x:v>CB-01</x:v>
      </x:c>
      <x:c r="D2" t="n">
        <x:v>0.51</x:v>
      </x:c>
      <x:c r="E2" t="n">
        <x:v>0.64</x:v>
      </x:c>
      <x:c r="F2" t="n">
        <x:v>72</x:v>
      </x:c>
      <x:c r="G2" t="n">
        <x:f>0.00278*D2*E2*F2</x:f>
        <x:v>0.065332224</x:v>
      </x:c>
      <x:c r="H2" t="n">
        <x:v>10</x:v>
      </x:c>
      <x:c r="I2" t="n">
        <x:v>72</x:v>
      </x:c>
      <x:c r="J2" t="n">
        <x:v>0.64</x:v>
      </x:c>
      <x:c r="K2" t="n">
        <x:f>0.00278*D2*I2*J2</x:f>
        <x:v>0.065332224</x:v>
      </x:c>
      <x:c r="L2" t="str">
        <x:f>IF(OR(H2&lt;&gt;10,I2&lt;&gt;F2,J2&lt;&gt;E2),"check criteria","matches prelim")</x:f>
        <x:v>matches prelim</x:v>
      </x:c>
    </x:row>
    <x:row r="3">
      <x:c r="A3" t="str">
        <x:v>HYD-C002</x:v>
      </x:c>
      <x:c r="B3" t="str">
        <x:v>DA-02</x:v>
      </x:c>
      <x:c r="C3" t="str">
        <x:v>CB-01</x:v>
      </x:c>
      <x:c r="D3" t="n">
        <x:v>0.67</x:v>
      </x:c>
      <x:c r="E3" t="n">
        <x:v>0.66</x:v>
      </x:c>
      <x:c r="F3" t="n">
        <x:v>66</x:v>
      </x:c>
      <x:c r="G3" t="n">
        <x:f>0.00278*D3*E3*F3</x:f>
        <x:v>0.081134856</x:v>
      </x:c>
      <x:c r="H3" t="n">
        <x:v>10</x:v>
      </x:c>
      <x:c r="I3" t="n">
        <x:v>66</x:v>
      </x:c>
      <x:c r="J3" t="n">
        <x:v>0.66</x:v>
      </x:c>
      <x:c r="K3" t="n">
        <x:f>0.00278*D3*I3*J3</x:f>
        <x:v>0.081134856</x:v>
      </x:c>
      <x:c r="L3" t="str">
        <x:f>IF(OR(H3&lt;&gt;10,I3&lt;&gt;F3,J3&lt;&gt;E3),"check criteria","matches prelim")</x:f>
        <x:v>matches prelim</x:v>
      </x:c>
    </x:row>
    <x:row r="4">
      <x:c r="A4" t="str">
        <x:v>HYD-C003</x:v>
      </x:c>
      <x:c r="B4" t="str">
        <x:v>DA-03</x:v>
      </x:c>
      <x:c r="C4" t="str">
        <x:v>CB-02</x:v>
      </x:c>
      <x:c r="D4" t="n">
        <x:v>0.83</x:v>
      </x:c>
      <x:c r="E4" t="n">
        <x:v>0.6799999999999999</x:v>
      </x:c>
      <x:c r="F4" t="n">
        <x:v>66</x:v>
      </x:c>
      <x:c r="G4" t="n">
        <x:f>0.00278*D4*E4*F4</x:f>
        <x:v>0.10355611199999998</x:v>
      </x:c>
      <x:c r="H4" t="n">
        <x:v>10</x:v>
      </x:c>
      <x:c r="I4" t="n">
        <x:v>66</x:v>
      </x:c>
      <x:c r="J4" t="n">
        <x:v>0.6799999999999999</x:v>
      </x:c>
      <x:c r="K4" t="n">
        <x:f>0.00278*D4*I4*J4</x:f>
        <x:v>0.10355611199999998</x:v>
      </x:c>
      <x:c r="L4" t="str">
        <x:f>IF(OR(H4&lt;&gt;10,I4&lt;&gt;F4,J4&lt;&gt;E4),"check criteria","matches prelim")</x:f>
        <x:v>matches prelim</x:v>
      </x:c>
    </x:row>
    <x:row r="5">
      <x:c r="A5" t="str">
        <x:v>HYD-C004</x:v>
      </x:c>
      <x:c r="B5" t="str">
        <x:v>DA-04</x:v>
      </x:c>
      <x:c r="C5" t="str">
        <x:v>CB-03</x:v>
      </x:c>
      <x:c r="D5" t="n">
        <x:v>0.99</x:v>
      </x:c>
      <x:c r="E5" t="n">
        <x:v>0.7</x:v>
      </x:c>
      <x:c r="F5" t="n">
        <x:v>78</x:v>
      </x:c>
      <x:c r="G5" t="n">
        <x:f>0.00278*D5*E5*F5</x:f>
        <x:v>0.15027011999999998</x:v>
      </x:c>
      <x:c r="H5" t="n">
        <x:v>10</x:v>
      </x:c>
      <x:c r="I5" t="n">
        <x:v>78</x:v>
      </x:c>
      <x:c r="J5" t="n">
        <x:v>0.7</x:v>
      </x:c>
      <x:c r="K5" t="n">
        <x:f>0.00278*D5*I5*J5</x:f>
        <x:v>0.15027011999999998</x:v>
      </x:c>
      <x:c r="L5" t="str">
        <x:f>IF(OR(H5&lt;&gt;10,I5&lt;&gt;F5,J5&lt;&gt;E5),"check criteria","matches prelim")</x:f>
        <x:v>matches prelim</x:v>
      </x:c>
    </x:row>
    <x:row r="6">
      <x:c r="A6" t="str">
        <x:v>HYD-C005</x:v>
      </x:c>
      <x:c r="B6" t="str">
        <x:v>DA-05</x:v>
      </x:c>
      <x:c r="C6" t="str">
        <x:v>CB-04</x:v>
      </x:c>
      <x:c r="D6" t="n">
        <x:v>1.15</x:v>
      </x:c>
      <x:c r="E6" t="n">
        <x:v>0.62</x:v>
      </x:c>
      <x:c r="F6" t="n">
        <x:v>72</x:v>
      </x:c>
      <x:c r="G6" t="n">
        <x:f>0.00278*D6*E6*F6</x:f>
        <x:v>0.14271408</x:v>
      </x:c>
      <x:c r="H6" t="n">
        <x:v>10</x:v>
      </x:c>
      <x:c r="I6" t="n">
        <x:v>72</x:v>
      </x:c>
      <x:c r="J6" t="n">
        <x:v>0.62</x:v>
      </x:c>
      <x:c r="K6" t="n">
        <x:f>0.00278*D6*I6*J6</x:f>
        <x:v>0.14271408</x:v>
      </x:c>
      <x:c r="L6" t="str">
        <x:f>IF(OR(H6&lt;&gt;10,I6&lt;&gt;F6,J6&lt;&gt;E6),"check criteria","matches prelim")</x:f>
        <x:v>matches prelim</x:v>
      </x:c>
    </x:row>
    <x:row r="7">
      <x:c r="A7" t="str">
        <x:v>HYD-C006</x:v>
      </x:c>
      <x:c r="B7" t="str">
        <x:v>DA-06</x:v>
      </x:c>
      <x:c r="C7" t="str">
        <x:v>CB-04</x:v>
      </x:c>
      <x:c r="D7" t="n">
        <x:v>1.31</x:v>
      </x:c>
      <x:c r="E7" t="n">
        <x:v>0.64</x:v>
      </x:c>
      <x:c r="F7" t="n">
        <x:v>66</x:v>
      </x:c>
      <x:c r="G7" t="n">
        <x:f>0.00278*D7*E7*F7</x:f>
        <x:v>0.15382963200000002</x:v>
      </x:c>
      <x:c r="H7" t="n">
        <x:v>10</x:v>
      </x:c>
      <x:c r="I7" t="n">
        <x:v>66</x:v>
      </x:c>
      <x:c r="J7" t="n">
        <x:v>0.64</x:v>
      </x:c>
      <x:c r="K7" t="n">
        <x:f>0.00278*D7*I7*J7</x:f>
        <x:v>0.15382963200000002</x:v>
      </x:c>
      <x:c r="L7" t="str">
        <x:f>IF(OR(H7&lt;&gt;10,I7&lt;&gt;F7,J7&lt;&gt;E7),"check criteria","matches prelim")</x:f>
        <x:v>matches prelim</x:v>
      </x:c>
    </x:row>
    <x:row r="8">
      <x:c r="A8" t="str">
        <x:v>HYD-C007</x:v>
      </x:c>
      <x:c r="B8" t="str">
        <x:v>DA-07</x:v>
      </x:c>
      <x:c r="C8" t="str">
        <x:v>CB-05</x:v>
      </x:c>
      <x:c r="D8" t="n">
        <x:v>0.35</x:v>
      </x:c>
      <x:c r="E8" t="n">
        <x:v>0.66</x:v>
      </x:c>
      <x:c r="F8" t="n">
        <x:v>66</x:v>
      </x:c>
      <x:c r="G8" t="n">
        <x:f>0.00278*D8*E8*F8</x:f>
        <x:v>0.04238388</x:v>
      </x:c>
      <x:c r="H8" t="n">
        <x:v>10</x:v>
      </x:c>
      <x:c r="I8" t="n">
        <x:v>66</x:v>
      </x:c>
      <x:c r="J8" t="n">
        <x:v>0.66</x:v>
      </x:c>
      <x:c r="K8" t="n">
        <x:f>0.00278*D8*I8*J8</x:f>
        <x:v>0.04238388</x:v>
      </x:c>
      <x:c r="L8" t="str">
        <x:f>IF(OR(H8&lt;&gt;10,I8&lt;&gt;F8,J8&lt;&gt;E8),"check criteria","matches prelim")</x:f>
        <x:v>matches prelim</x:v>
      </x:c>
    </x:row>
    <x:row r="9">
      <x:c r="A9" t="str">
        <x:v>HYD-C008</x:v>
      </x:c>
      <x:c r="B9" t="str">
        <x:v>DA-08</x:v>
      </x:c>
      <x:c r="C9" t="str">
        <x:v>CB-06</x:v>
      </x:c>
      <x:c r="D9" t="n">
        <x:v>0.51</x:v>
      </x:c>
      <x:c r="E9" t="n">
        <x:v>0.6799999999999999</x:v>
      </x:c>
      <x:c r="F9" t="n">
        <x:v>78</x:v>
      </x:c>
      <x:c r="G9" t="n">
        <x:f>0.00278*D9*E9*F9</x:f>
        <x:v>0.07520011199999999</x:v>
      </x:c>
      <x:c r="H9" t="n">
        <x:v>10</x:v>
      </x:c>
      <x:c r="I9" t="n">
        <x:v>78</x:v>
      </x:c>
      <x:c r="J9" t="n">
        <x:v>0.6799999999999999</x:v>
      </x:c>
      <x:c r="K9" t="n">
        <x:f>0.00278*D9*I9*J9</x:f>
        <x:v>0.07520011199999999</x:v>
      </x:c>
      <x:c r="L9" t="str">
        <x:f>IF(OR(H9&lt;&gt;10,I9&lt;&gt;F9,J9&lt;&gt;E9),"check criteria","matches prelim")</x:f>
        <x:v>matches prelim</x:v>
      </x:c>
    </x:row>
    <x:row r="10">
      <x:c r="A10" t="str">
        <x:v>HYD-C009</x:v>
      </x:c>
      <x:c r="B10" t="str">
        <x:v>DA-09</x:v>
      </x:c>
      <x:c r="C10" t="str">
        <x:v>CB-07</x:v>
      </x:c>
      <x:c r="D10" t="n">
        <x:v>0.67</x:v>
      </x:c>
      <x:c r="E10" t="n">
        <x:v>0.7</x:v>
      </x:c>
      <x:c r="F10" t="n">
        <x:v>72</x:v>
      </x:c>
      <x:c r="G10" t="n">
        <x:f>0.00278*D10*E10*F10</x:f>
        <x:v>0.09387504</x:v>
      </x:c>
      <x:c r="H10" t="n">
        <x:v>10</x:v>
      </x:c>
      <x:c r="I10" t="n">
        <x:v>72</x:v>
      </x:c>
      <x:c r="J10" t="n">
        <x:v>0.7</x:v>
      </x:c>
      <x:c r="K10" t="n">
        <x:f>0.00278*D10*I10*J10</x:f>
        <x:v>0.09387504</x:v>
      </x:c>
      <x:c r="L10" t="str">
        <x:f>IF(OR(H10&lt;&gt;10,I10&lt;&gt;F10,J10&lt;&gt;E10),"check criteria","matches prelim")</x:f>
        <x:v>matches prelim</x:v>
      </x:c>
    </x:row>
    <x:row r="11">
      <x:c r="A11" t="str">
        <x:v>HYD-C010</x:v>
      </x:c>
      <x:c r="B11" t="str">
        <x:v>DA-10</x:v>
      </x:c>
      <x:c r="C11" t="str">
        <x:v>CB-08</x:v>
      </x:c>
      <x:c r="D11" t="n">
        <x:v>0.83</x:v>
      </x:c>
      <x:c r="E11" t="n">
        <x:v>0.62</x:v>
      </x:c>
      <x:c r="F11" t="n">
        <x:v>66</x:v>
      </x:c>
      <x:c r="G11" t="n">
        <x:f>0.00278*D11*E11*F11</x:f>
        <x:v>0.09441880799999998</x:v>
      </x:c>
      <x:c r="H11" t="n">
        <x:v>10</x:v>
      </x:c>
      <x:c r="I11" t="n">
        <x:v>66</x:v>
      </x:c>
      <x:c r="J11" t="n">
        <x:v>0.62</x:v>
      </x:c>
      <x:c r="K11" t="n">
        <x:f>0.00278*D11*I11*J11</x:f>
        <x:v>0.09441880799999999</x:v>
      </x:c>
      <x:c r="L11" t="str">
        <x:f>IF(OR(H11&lt;&gt;10,I11&lt;&gt;F11,J11&lt;&gt;E11),"check criteria","matches prelim")</x:f>
        <x:v>matches prelim</x:v>
      </x:c>
    </x:row>
    <x:row r="12">
      <x:c r="A12" t="str">
        <x:v>HYD-C011</x:v>
      </x:c>
      <x:c r="B12" t="str">
        <x:v>DA-11</x:v>
      </x:c>
      <x:c r="C12" t="str">
        <x:v>CB-08</x:v>
      </x:c>
      <x:c r="D12" t="n">
        <x:v>0.99</x:v>
      </x:c>
      <x:c r="E12" t="n">
        <x:v>0.64</x:v>
      </x:c>
      <x:c r="F12" t="n">
        <x:v>66</x:v>
      </x:c>
      <x:c r="G12" t="n">
        <x:f>0.00278*D12*E12*F12</x:f>
        <x:v>0.11625292799999999</x:v>
      </x:c>
      <x:c r="H12" t="n">
        <x:v>10</x:v>
      </x:c>
      <x:c r="I12" t="n">
        <x:v>66</x:v>
      </x:c>
      <x:c r="J12" t="n">
        <x:v>0.64</x:v>
      </x:c>
      <x:c r="K12" t="n">
        <x:f>0.00278*D12*I12*J12</x:f>
        <x:v>0.11625292799999999</x:v>
      </x:c>
      <x:c r="L12" t="str">
        <x:f>IF(OR(H12&lt;&gt;10,I12&lt;&gt;F12,J12&lt;&gt;E12),"check criteria","matches prelim")</x:f>
        <x:v>matches prelim</x:v>
      </x:c>
    </x:row>
    <x:row r="13">
      <x:c r="A13" t="str">
        <x:v>HYD-C012</x:v>
      </x:c>
      <x:c r="B13" t="str">
        <x:v>DA-12</x:v>
      </x:c>
      <x:c r="C13" t="str">
        <x:v>CB-09</x:v>
      </x:c>
      <x:c r="D13" t="n">
        <x:v>1.15</x:v>
      </x:c>
      <x:c r="E13" t="n">
        <x:v>0.66</x:v>
      </x:c>
      <x:c r="F13" t="n">
        <x:v>78</x:v>
      </x:c>
      <x:c r="G13" t="n">
        <x:f>0.00278*D13*E13*F13</x:f>
        <x:v>0.16458156</x:v>
      </x:c>
      <x:c r="H13" t="n">
        <x:v>10</x:v>
      </x:c>
      <x:c r="I13" t="n">
        <x:v>78</x:v>
      </x:c>
      <x:c r="J13" t="n">
        <x:v>0.66</x:v>
      </x:c>
      <x:c r="K13" t="n">
        <x:f>0.00278*D13*I13*J13</x:f>
        <x:v>0.16458156</x:v>
      </x:c>
      <x:c r="L13" t="str">
        <x:f>IF(OR(H13&lt;&gt;10,I13&lt;&gt;F13,J13&lt;&gt;E13),"check criteria","matches prelim")</x:f>
        <x:v>matches prelim</x:v>
      </x:c>
    </x:row>
    <x:row r="14">
      <x:c r="A14" t="str">
        <x:v>HYD-C013</x:v>
      </x:c>
      <x:c r="B14" t="str">
        <x:v>DA-13</x:v>
      </x:c>
      <x:c r="C14" t="str">
        <x:v>CB-10</x:v>
      </x:c>
      <x:c r="D14" t="n">
        <x:v>1.31</x:v>
      </x:c>
      <x:c r="E14" t="n">
        <x:v>0.6799999999999999</x:v>
      </x:c>
      <x:c r="F14" t="n">
        <x:v>72</x:v>
      </x:c>
      <x:c r="G14" t="n">
        <x:f>0.00278*D14*E14*F14</x:f>
        <x:v>0.17830252800000002</x:v>
      </x:c>
      <x:c r="H14" t="n">
        <x:v>10</x:v>
      </x:c>
      <x:c r="I14" t="n">
        <x:v>72</x:v>
      </x:c>
      <x:c r="J14" t="n">
        <x:v>0.6799999999999999</x:v>
      </x:c>
      <x:c r="K14" t="n">
        <x:f>0.00278*D14*I14*J14</x:f>
        <x:v>0.178302528</x:v>
      </x:c>
      <x:c r="L14" t="str">
        <x:f>IF(OR(H14&lt;&gt;10,I14&lt;&gt;F14,J14&lt;&gt;E14),"check criteria","matches prelim")</x:f>
        <x:v>matches prelim</x:v>
      </x:c>
    </x:row>
    <x:row r="15">
      <x:c r="A15" t="str">
        <x:v>HYD-C014</x:v>
      </x:c>
      <x:c r="B15" t="str">
        <x:v>DA-14</x:v>
      </x:c>
      <x:c r="C15" t="str">
        <x:v>CB-11</x:v>
      </x:c>
      <x:c r="D15" t="n">
        <x:v>0.35</x:v>
      </x:c>
      <x:c r="E15" t="n">
        <x:v>0.7</x:v>
      </x:c>
      <x:c r="F15" t="n">
        <x:v>66</x:v>
      </x:c>
      <x:c r="G15" t="n">
        <x:f>0.00278*D15*E15*F15</x:f>
        <x:v>0.044952599999999995</x:v>
      </x:c>
      <x:c r="H15" t="n">
        <x:v>10</x:v>
      </x:c>
      <x:c r="I15" t="n">
        <x:v>66</x:v>
      </x:c>
      <x:c r="J15" t="n">
        <x:v>0.7</x:v>
      </x:c>
      <x:c r="K15" t="n">
        <x:f>0.00278*D15*I15*J15</x:f>
        <x:v>0.044952599999999995</x:v>
      </x:c>
      <x:c r="L15" t="str">
        <x:f>IF(OR(H15&lt;&gt;10,I15&lt;&gt;F15,J15&lt;&gt;E15),"check criteria","matches prelim")</x:f>
        <x:v>matches prelim</x:v>
      </x:c>
    </x:row>
    <x:row r="16">
      <x:c r="A16" t="str">
        <x:v>HYD-C015</x:v>
      </x:c>
      <x:c r="B16" t="str">
        <x:v>DA-15</x:v>
      </x:c>
      <x:c r="C16" t="str">
        <x:v>CB-12</x:v>
      </x:c>
      <x:c r="D16" t="n">
        <x:v>0.51</x:v>
      </x:c>
      <x:c r="E16" t="n">
        <x:v>0.62</x:v>
      </x:c>
      <x:c r="F16" t="n">
        <x:v>66</x:v>
      </x:c>
      <x:c r="G16" t="n">
        <x:f>0.00278*D16*E16*F16</x:f>
        <x:v>0.058016375999999995</x:v>
      </x:c>
      <x:c r="H16" t="n">
        <x:v>10</x:v>
      </x:c>
      <x:c r="I16" t="n">
        <x:v>66</x:v>
      </x:c>
      <x:c r="J16" t="n">
        <x:v>0.62</x:v>
      </x:c>
      <x:c r="K16" t="n">
        <x:f>0.00278*D16*I16*J16</x:f>
        <x:v>0.05801637599999999</x:v>
      </x:c>
      <x:c r="L16" t="str">
        <x:f>IF(OR(H16&lt;&gt;10,I16&lt;&gt;F16,J16&lt;&gt;E16),"check criteria","matches prelim")</x:f>
        <x:v>matches prelim</x:v>
      </x:c>
    </x:row>
    <x:row r="17">
      <x:c r="A17" t="str">
        <x:v>HYD-C016</x:v>
      </x:c>
      <x:c r="B17" t="str">
        <x:v>DA-16</x:v>
      </x:c>
      <x:c r="C17" t="str">
        <x:v>CB-12</x:v>
      </x:c>
      <x:c r="D17" t="n">
        <x:v>0.67</x:v>
      </x:c>
      <x:c r="E17" t="n">
        <x:v>0.64</x:v>
      </x:c>
      <x:c r="F17" t="n">
        <x:v>78</x:v>
      </x:c>
      <x:c r="G17" t="n">
        <x:f>0.00278*D17*E17*F17</x:f>
        <x:v>0.092980992</x:v>
      </x:c>
      <x:c r="H17" t="n">
        <x:v>10</x:v>
      </x:c>
      <x:c r="I17" t="n">
        <x:v>78</x:v>
      </x:c>
      <x:c r="J17" t="n">
        <x:v>0.64</x:v>
      </x:c>
      <x:c r="K17" t="n">
        <x:f>0.00278*D17*I17*J17</x:f>
        <x:v>0.09298099200000001</x:v>
      </x:c>
      <x:c r="L17" t="str">
        <x:f>IF(OR(H17&lt;&gt;10,I17&lt;&gt;F17,J17&lt;&gt;E17),"check criteria","matches prelim")</x:f>
        <x:v>matches prelim</x:v>
      </x:c>
    </x:row>
    <x:row r="18">
      <x:c r="A18" t="str">
        <x:v>HYD-C017</x:v>
      </x:c>
      <x:c r="B18" t="str">
        <x:v>DA-17</x:v>
      </x:c>
      <x:c r="C18" t="str">
        <x:v>CB-14</x:v>
      </x:c>
      <x:c r="D18" t="n">
        <x:v>1.1</x:v>
      </x:c>
      <x:c r="E18" t="n">
        <x:v>0.7</x:v>
      </x:c>
      <x:c r="F18" t="n">
        <x:v>72</x:v>
      </x:c>
      <x:c r="G18" t="n">
        <x:f>0.00278*D18*E18*F18</x:f>
        <x:v>0.1541232</x:v>
      </x:c>
      <x:c r="H18" t="n">
        <x:v>25</x:v>
      </x:c>
      <x:c r="I18" t="n">
        <x:v>91</x:v>
      </x:c>
      <x:c r="J18" t="n">
        <x:v>0.78</x:v>
      </x:c>
      <x:c r="K18" t="n">
        <x:f>0.00278*D18*I18*J18</x:f>
        <x:v>0.21705683999999997</x:v>
      </x:c>
      <x:c r="L18" t="str">
        <x:f>IF(OR(H18&lt;&gt;10,I18&lt;&gt;F18,J18&lt;&gt;E18),"check criteria","matches prelim")</x:f>
        <x:v>check criteria</x:v>
      </x:c>
    </x:row>
    <x:row r="19">
      <x:c r="A19" t="str">
        <x:v>HYD-C018</x:v>
      </x:c>
      <x:c r="B19" t="str">
        <x:v>DA-18</x:v>
      </x:c>
      <x:c r="C19" t="str">
        <x:v>CB-14</x:v>
      </x:c>
      <x:c r="D19" t="n">
        <x:v>0.99</x:v>
      </x:c>
      <x:c r="E19" t="n">
        <x:v>0.6799999999999999</x:v>
      </x:c>
      <x:c r="F19" t="n">
        <x:v>66</x:v>
      </x:c>
      <x:c r="G19" t="n">
        <x:f>0.00278*D19*E19*F19</x:f>
        <x:v>0.12351873599999998</x:v>
      </x:c>
      <x:c r="H19" t="n">
        <x:v>25</x:v>
      </x:c>
      <x:c r="I19" t="n">
        <x:v>91</x:v>
      </x:c>
      <x:c r="J19" t="n">
        <x:v>0.78</x:v>
      </x:c>
      <x:c r="K19" t="n">
        <x:f>0.00278*D19*I19*J19</x:f>
        <x:v>0.19535115599999997</x:v>
      </x:c>
      <x:c r="L19" t="str">
        <x:f>IF(OR(H19&lt;&gt;10,I19&lt;&gt;F19,J19&lt;&gt;E19),"check criteria","matches prelim")</x:f>
        <x:v>check criteria</x:v>
      </x:c>
    </x:row>
    <x:row r="20">
      <x:c r="A20" t="str">
        <x:v>HYD-C019</x:v>
      </x:c>
      <x:c r="B20" t="str">
        <x:v>DA-19</x:v>
      </x:c>
      <x:c r="C20" t="str">
        <x:v>CB-15</x:v>
      </x:c>
      <x:c r="D20" t="n">
        <x:v>1.15</x:v>
      </x:c>
      <x:c r="E20" t="n">
        <x:v>0.7</x:v>
      </x:c>
      <x:c r="F20" t="n">
        <x:v>66</x:v>
      </x:c>
      <x:c r="G20" t="n">
        <x:f>0.00278*D20*E20*F20</x:f>
        <x:v>0.14770139999999998</x:v>
      </x:c>
      <x:c r="H20" t="n">
        <x:v>10</x:v>
      </x:c>
      <x:c r="I20" t="n">
        <x:v>66</x:v>
      </x:c>
      <x:c r="J20" t="n">
        <x:v>0.7</x:v>
      </x:c>
      <x:c r="K20" t="n">
        <x:f>0.00278*D20*I20*J20</x:f>
        <x:v>0.14770139999999998</x:v>
      </x:c>
      <x:c r="L20" t="str">
        <x:f>IF(OR(H20&lt;&gt;10,I20&lt;&gt;F20,J20&lt;&gt;E20),"check criteria","matches prelim")</x:f>
        <x:v>matches prelim</x:v>
      </x:c>
    </x:row>
    <x:row r="21">
      <x:c r="A21" t="str">
        <x:v>HYD-C020</x:v>
      </x:c>
      <x:c r="B21" t="str">
        <x:v>DA-20</x:v>
      </x:c>
      <x:c r="C21" t="str">
        <x:v>BUS-STOP-SB-0820</x:v>
      </x:c>
      <x:c r="D21" t="n">
        <x:v>0.42</x:v>
      </x:c>
      <x:c r="E21" t="n">
        <x:v>0.66</x:v>
      </x:c>
      <x:c r="F21" t="n">
        <x:v>72</x:v>
      </x:c>
      <x:c r="G21" t="n">
        <x:f>0.00278*D21*E21*F21</x:f>
        <x:v>0.055484352</x:v>
      </x:c>
      <x:c r="H21" t="n">
        <x:v>10</x:v>
      </x:c>
      <x:c r="I21" t="n">
        <x:v>72</x:v>
      </x:c>
      <x:c r="J21" t="n">
        <x:v>0.66</x:v>
      </x:c>
      <x:c r="K21" t="n">
        <x:f>0.00278*D21*I21*J21</x:f>
        <x:v>0.055484352</x:v>
      </x:c>
      <x:c r="L21" t="str">
        <x:f>IF(OR(H21&lt;&gt;10,I21&lt;&gt;F21,J21&lt;&gt;E21),"check criteria","matches prelim")</x:f>
        <x:v>matches prelim</x:v>
      </x:c>
    </x:row>
    <x:row r="22">
      <x:c r="A22" t="str">
        <x:v>HYD-C021</x:v>
      </x:c>
      <x:c r="B22" t="str">
        <x:v>DA-21</x:v>
      </x:c>
      <x:c r="C22" t="str">
        <x:v>CB-16</x:v>
      </x:c>
      <x:c r="D22" t="n">
        <x:v>0.35</x:v>
      </x:c>
      <x:c r="E22" t="n">
        <x:v>0.64</x:v>
      </x:c>
      <x:c r="F22" t="n">
        <x:v>72</x:v>
      </x:c>
      <x:c r="G22" t="n">
        <x:f>0.00278*D22*E22*F22</x:f>
        <x:v>0.04483584</x:v>
      </x:c>
      <x:c r="H22" t="n">
        <x:v>10</x:v>
      </x:c>
      <x:c r="I22" t="n">
        <x:v>72</x:v>
      </x:c>
      <x:c r="J22" t="n">
        <x:v>0.64</x:v>
      </x:c>
      <x:c r="K22" t="n">
        <x:f>0.00278*D22*I22*J22</x:f>
        <x:v>0.044835839999999995</x:v>
      </x:c>
      <x:c r="L22" t="str">
        <x:f>IF(OR(H22&lt;&gt;10,I22&lt;&gt;F22,J22&lt;&gt;E22),"check criteria","matches prelim")</x:f>
        <x:v>matches prelim</x:v>
      </x:c>
    </x:row>
    <x:row r="23">
      <x:c r="A23" t="str">
        <x:v>HYD-C022</x:v>
      </x:c>
      <x:c r="B23" t="str">
        <x:v>DA-22</x:v>
      </x:c>
      <x:c r="C23" t="str">
        <x:v>CB-17</x:v>
      </x:c>
      <x:c r="D23" t="n">
        <x:v>0.51</x:v>
      </x:c>
      <x:c r="E23" t="n">
        <x:v>0.66</x:v>
      </x:c>
      <x:c r="F23" t="n">
        <x:v>66</x:v>
      </x:c>
      <x:c r="G23" t="n">
        <x:f>0.00278*D23*E23*F23</x:f>
        <x:v>0.061759367999999995</x:v>
      </x:c>
      <x:c r="H23" t="n">
        <x:v>10</x:v>
      </x:c>
      <x:c r="I23" t="n">
        <x:v>66</x:v>
      </x:c>
      <x:c r="J23" t="n">
        <x:v>0.66</x:v>
      </x:c>
      <x:c r="K23" t="n">
        <x:f>0.00278*D23*I23*J23</x:f>
        <x:v>0.061759367999999995</x:v>
      </x:c>
      <x:c r="L23" t="str">
        <x:f>IF(OR(H23&lt;&gt;10,I23&lt;&gt;F23,J23&lt;&gt;E23),"check criteria","matches prelim")</x:f>
        <x:v>matches prelim</x:v>
      </x:c>
    </x:row>
    <x:row r="24">
      <x:c r="A24" t="str">
        <x:v>HYD-C023</x:v>
      </x:c>
      <x:c r="B24" t="str">
        <x:v>DA-23</x:v>
      </x:c>
      <x:c r="C24" t="str">
        <x:v>CB-18</x:v>
      </x:c>
      <x:c r="D24" t="n">
        <x:v>0.67</x:v>
      </x:c>
      <x:c r="E24" t="n">
        <x:v>0.6799999999999999</x:v>
      </x:c>
      <x:c r="F24" t="n">
        <x:v>66</x:v>
      </x:c>
      <x:c r="G24" t="n">
        <x:f>0.00278*D24*E24*F24</x:f>
        <x:v>0.08359348800000001</x:v>
      </x:c>
      <x:c r="H24" t="n">
        <x:v>10</x:v>
      </x:c>
      <x:c r="I24" t="n">
        <x:v>66</x:v>
      </x:c>
      <x:c r="J24" t="n">
        <x:v>0.6799999999999999</x:v>
      </x:c>
      <x:c r="K24" t="n">
        <x:f>0.00278*D24*I24*J24</x:f>
        <x:v>0.083593488</x:v>
      </x:c>
      <x:c r="L24" t="str">
        <x:f>IF(OR(H24&lt;&gt;10,I24&lt;&gt;F24,J24&lt;&gt;E24),"check criteria","matches prelim")</x:f>
        <x:v>matches prelim</x:v>
      </x:c>
    </x:row>
    <x:row r="25">
      <x:c r="A25" t="str">
        <x:v>HYD-C024</x:v>
      </x:c>
      <x:c r="B25" t="str">
        <x:v>DA-24</x:v>
      </x:c>
      <x:c r="C25" t="str">
        <x:v>CB-19</x:v>
      </x:c>
      <x:c r="D25" t="n">
        <x:v>0.83</x:v>
      </x:c>
      <x:c r="E25" t="n">
        <x:v>0.7</x:v>
      </x:c>
      <x:c r="F25" t="n">
        <x:v>78</x:v>
      </x:c>
      <x:c r="G25" t="n">
        <x:f>0.00278*D25*E25*F25</x:f>
        <x:v>0.12598403999999996</x:v>
      </x:c>
      <x:c r="H25" t="n">
        <x:v>10</x:v>
      </x:c>
      <x:c r="I25" t="n">
        <x:v>78</x:v>
      </x:c>
      <x:c r="J25" t="n">
        <x:v>0.7</x:v>
      </x:c>
      <x:c r="K25" t="n">
        <x:f>0.00278*D25*I25*J25</x:f>
        <x:v>0.12598403999999996</x:v>
      </x:c>
      <x:c r="L25" t="str">
        <x:f>IF(OR(H25&lt;&gt;10,I25&lt;&gt;F25,J25&lt;&gt;E25),"check criteria","matches prelim")</x:f>
        <x:v>matches prelim</x:v>
      </x:c>
    </x:row>
    <x:row r="26">
      <x:c r="A26" t="str">
        <x:v>HYD-C025</x:v>
      </x:c>
      <x:c r="B26" t="str">
        <x:v>DA-25</x:v>
      </x:c>
      <x:c r="C26" t="str">
        <x:v>CB-20</x:v>
      </x:c>
      <x:c r="D26" t="n">
        <x:v>0.99</x:v>
      </x:c>
      <x:c r="E26" t="n">
        <x:v>0.62</x:v>
      </x:c>
      <x:c r="F26" t="n">
        <x:v>72</x:v>
      </x:c>
      <x:c r="G26" t="n">
        <x:f>0.00278*D26*E26*F26</x:f>
        <x:v>0.122858208</x:v>
      </x:c>
      <x:c r="H26" t="n">
        <x:v>10</x:v>
      </x:c>
      <x:c r="I26" t="n">
        <x:v>72</x:v>
      </x:c>
      <x:c r="J26" t="n">
        <x:v>0.62</x:v>
      </x:c>
      <x:c r="K26" t="n">
        <x:f>0.00278*D26*I26*J26</x:f>
        <x:v>0.12285820799999998</x:v>
      </x:c>
      <x:c r="L26" t="str">
        <x:f>IF(OR(H26&lt;&gt;10,I26&lt;&gt;F26,J26&lt;&gt;E26),"check criteria","matches prelim")</x:f>
        <x:v>matches prelim</x:v>
      </x:c>
    </x:row>
    <x:row r="27">
      <x:c r="A27" t="str">
        <x:v>HYD-C026</x:v>
      </x:c>
      <x:c r="B27" t="str">
        <x:v>DA-26</x:v>
      </x:c>
      <x:c r="C27" t="str">
        <x:v>CB-20</x:v>
      </x:c>
      <x:c r="D27" t="n">
        <x:v>1.15</x:v>
      </x:c>
      <x:c r="E27" t="n">
        <x:v>0.64</x:v>
      </x:c>
      <x:c r="F27" t="n">
        <x:v>66</x:v>
      </x:c>
      <x:c r="G27" t="n">
        <x:f>0.00278*D27*E27*F27</x:f>
        <x:v>0.13504128</x:v>
      </x:c>
      <x:c r="H27" t="n">
        <x:v>10</x:v>
      </x:c>
      <x:c r="I27" t="n">
        <x:v>66</x:v>
      </x:c>
      <x:c r="J27" t="n">
        <x:v>0.64</x:v>
      </x:c>
      <x:c r="K27" t="n">
        <x:f>0.00278*D27*I27*J27</x:f>
        <x:v>0.13504128</x:v>
      </x:c>
      <x:c r="L27" t="str">
        <x:f>IF(OR(H27&lt;&gt;10,I27&lt;&gt;F27,J27&lt;&gt;E27),"check criteria","matches prelim")</x:f>
        <x:v>matches prelim</x:v>
      </x:c>
    </x:row>
    <x:row r="28">
      <x:c r="A28" t="str">
        <x:v>HYD-C027</x:v>
      </x:c>
      <x:c r="B28" t="str">
        <x:v>DA-27</x:v>
      </x:c>
      <x:c r="C28" t="str">
        <x:v>CB-21</x:v>
      </x:c>
      <x:c r="D28" t="n">
        <x:v>1.31</x:v>
      </x:c>
      <x:c r="E28" t="n">
        <x:v>0.66</x:v>
      </x:c>
      <x:c r="F28" t="n">
        <x:v>66</x:v>
      </x:c>
      <x:c r="G28" t="n">
        <x:f>0.00278*D28*E28*F28</x:f>
        <x:v>0.15863680800000002</x:v>
      </x:c>
      <x:c r="H28" t="n">
        <x:v>10</x:v>
      </x:c>
      <x:c r="I28" t="n">
        <x:v>66</x:v>
      </x:c>
      <x:c r="J28" t="n">
        <x:v>0.66</x:v>
      </x:c>
      <x:c r="K28" t="n">
        <x:f>0.00278*D28*I28*J28</x:f>
        <x:v>0.15863680800000002</x:v>
      </x:c>
      <x:c r="L28" t="str">
        <x:f>IF(OR(H28&lt;&gt;10,I28&lt;&gt;F28,J28&lt;&gt;E28),"check criteria","matches prelim")</x:f>
        <x:v>matches prelim</x:v>
      </x:c>
    </x:row>
    <x:row r="29">
      <x:c r="A29" t="str">
        <x:v>HYD-C028</x:v>
      </x:c>
      <x:c r="B29" t="str">
        <x:v>DA-28</x:v>
      </x:c>
      <x:c r="C29" t="str">
        <x:v>CB-22</x:v>
      </x:c>
      <x:c r="D29" t="n">
        <x:v>0.35</x:v>
      </x:c>
      <x:c r="E29" t="n">
        <x:v>0.6799999999999999</x:v>
      </x:c>
      <x:c r="F29" t="n">
        <x:v>78</x:v>
      </x:c>
      <x:c r="G29" t="n">
        <x:f>0.00278*D29*E29*F29</x:f>
        <x:v>0.051607919999999995</x:v>
      </x:c>
      <x:c r="H29" t="n">
        <x:v>10</x:v>
      </x:c>
      <x:c r="I29" t="n">
        <x:v>78</x:v>
      </x:c>
      <x:c r="J29" t="n">
        <x:v>0.6799999999999999</x:v>
      </x:c>
      <x:c r="K29" t="n">
        <x:f>0.00278*D29*I29*J29</x:f>
        <x:v>0.05160791999999999</x:v>
      </x:c>
      <x:c r="L29" t="str">
        <x:f>IF(OR(H29&lt;&gt;10,I29&lt;&gt;F29,J29&lt;&gt;E29),"check criteria","matches prelim")</x:f>
        <x:v>matches prelim</x:v>
      </x:c>
    </x:row>
    <x:row r="30">
      <x:c r="A30" t="str">
        <x:v>HYD-C029</x:v>
      </x:c>
      <x:c r="B30" t="str">
        <x:v>DA-29</x:v>
      </x:c>
      <x:c r="C30" t="str">
        <x:v>CB-23</x:v>
      </x:c>
      <x:c r="D30" t="n">
        <x:v>0.51</x:v>
      </x:c>
      <x:c r="E30" t="n">
        <x:v>0.7</x:v>
      </x:c>
      <x:c r="F30" t="n">
        <x:v>72</x:v>
      </x:c>
      <x:c r="G30" t="n">
        <x:f>0.00278*D30*E30*F30</x:f>
        <x:v>0.07145712</x:v>
      </x:c>
      <x:c r="H30" t="n">
        <x:v>10</x:v>
      </x:c>
      <x:c r="I30" t="n">
        <x:v>72</x:v>
      </x:c>
      <x:c r="J30" t="n">
        <x:v>0.7</x:v>
      </x:c>
      <x:c r="K30" t="n">
        <x:f>0.00278*D30*I30*J30</x:f>
        <x:v>0.07145711999999999</x:v>
      </x:c>
      <x:c r="L30" t="str">
        <x:f>IF(OR(H30&lt;&gt;10,I30&lt;&gt;F30,J30&lt;&gt;E30),"check criteria","matches prelim")</x:f>
        <x:v>matches prelim</x:v>
      </x:c>
    </x:row>
    <x:row r="31">
      <x:c r="A31" t="str">
        <x:v>HYD-C030</x:v>
      </x:c>
      <x:c r="B31" t="str">
        <x:v>DA-30</x:v>
      </x:c>
      <x:c r="C31" t="str">
        <x:v>CB-24</x:v>
      </x:c>
      <x:c r="D31" t="n">
        <x:v>0.67</x:v>
      </x:c>
      <x:c r="E31" t="n">
        <x:v>0.62</x:v>
      </x:c>
      <x:c r="F31" t="n">
        <x:v>66</x:v>
      </x:c>
      <x:c r="G31" t="n">
        <x:f>0.00278*D31*E31*F31</x:f>
        <x:v>0.076217592</x:v>
      </x:c>
      <x:c r="H31" t="n">
        <x:v>10</x:v>
      </x:c>
      <x:c r="I31" t="n">
        <x:v>66</x:v>
      </x:c>
      <x:c r="J31" t="n">
        <x:v>0.62</x:v>
      </x:c>
      <x:c r="K31" t="n">
        <x:f>0.00278*D31*I31*J31</x:f>
        <x:v>0.076217592</x:v>
      </x:c>
      <x:c r="L31" t="str">
        <x:f>IF(OR(H31&lt;&gt;10,I31&lt;&gt;F31,J31&lt;&gt;E31),"check criteria","matches prelim")</x:f>
        <x:v>matches prelim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1.380000114440918" hidden="0" customWidth="1"/>
    <x:col min="3" max="3" width="11.380000114440918" hidden="0" customWidth="1"/>
    <x:col min="4" max="4" width="6.880000114440918" hidden="0" customWidth="1"/>
    <x:col min="5" max="5" width="12.380000114440918" hidden="0" customWidth="1"/>
    <x:col min="6" max="6" width="20.1299991607666" hidden="0" customWidth="1"/>
    <x:col min="7" max="7" width="22.5" hidden="0" customWidth="1"/>
    <x:col min="8" max="8" width="12.5" hidden="0" customWidth="1"/>
    <x:col min="9" max="9" width="14.880000114440918" hidden="0" customWidth="1"/>
    <x:col min="10" max="10" width="11.75" hidden="0" customWidth="1"/>
    <x:col min="11" max="11" width="24" hidden="0" customWidth="1"/>
    <x:col min="12" max="12" width="9.130000114440918" hidden="0" customWidth="1"/>
    <x:col min="13" max="13" width="19.5" hidden="0" customWidth="1"/>
    <x:col min="14" max="14" width="13" hidden="0" customWidth="1"/>
    <x:col min="15" max="15" width="10.5" hidden="0" customWidth="1"/>
  </x:cols>
  <x:sheetData>
    <x:row r="1">
      <x:c r="A1" s="4" t="str">
        <x:v>source_id</x:v>
      </x:c>
      <x:c r="B1" s="4" t="str">
        <x:v>pipe_segment</x:v>
      </x:c>
      <x:c r="C1" s="4" t="str">
        <x:v>diameter_mm</x:v>
      </x:c>
      <x:c r="D1" s="4" t="str">
        <x:v>material</x:v>
      </x:c>
      <x:c r="E1" s="4" t="str">
        <x:v>length_used_m</x:v>
      </x:c>
      <x:c r="F1" s="4" t="str">
        <x:v>upstream_invert_used_m</x:v>
      </x:c>
      <x:c r="G1" s="4" t="str">
        <x:v>downstream_invert_used_m</x:v>
      </x:c>
      <x:c r="H1" s="4" t="str">
        <x:v>slope_used_pct</x:v>
      </x:c>
      <x:c r="I1" s="4" t="str">
        <x:v>slope_formula_pct</x:v>
      </x:c>
      <x:c r="J1" s="4" t="str">
        <x:v>min_slope_pct</x:v>
      </x:c>
      <x:c r="K1" s="4" t="str">
        <x:v>q_prelim_from_Rational_Calcs</x:v>
      </x:c>
      <x:c r="L1" s="4" t="str">
        <x:v>manning_n</x:v>
      </x:c>
      <x:c r="M1" s="4" t="str">
        <x:v>full_flow_capacity_m3_s</x:v>
      </x:c>
      <x:c r="N1" s="4" t="str">
        <x:v>prelim_pass_fail</x:v>
      </x:c>
      <x:c r="O1" s="4" t="str">
        <x:v>conflict_note</x:v>
      </x:c>
    </x:row>
    <x:row r="2">
      <x:c r="A2" t="str">
        <x:v>HYD-P001</x:v>
      </x:c>
      <x:c r="B2" t="str">
        <x:v>P-CB14-MH17</x:v>
      </x:c>
      <x:c r="C2" t="n">
        <x:v>450</x:v>
      </x:c>
      <x:c r="D2" t="str">
        <x:v>RCP</x:v>
      </x:c>
      <x:c r="E2" t="n">
        <x:v>84</x:v>
      </x:c>
      <x:c r="F2" t="n">
        <x:v>101.86</x:v>
      </x:c>
      <x:c r="G2" t="n">
        <x:v>101.48</x:v>
      </x:c>
      <x:c r="H2" t="n">
        <x:v>0.45</x:v>
      </x:c>
      <x:c r="I2" t="n">
        <x:f>(F2-G2)/E2*100</x:f>
        <x:v>0.452380952380947</x:v>
      </x:c>
      <x:c r="J2" t="n">
        <x:v>0.4</x:v>
      </x:c>
      <x:c r="K2" t="n">
        <x:f>Rational_Calcs!K18</x:f>
        <x:v>0.21705683999999997</x:v>
      </x:c>
      <x:c r="L2" t="n">
        <x:v>0.013</x:v>
      </x:c>
      <x:c r="M2" t="n">
        <x:f>(1/L2)*(PI()*(C2/1000)^2/4)*((C2/1000/4)^(2/3))*SQRT(H2/100)</x:f>
        <x:v>0.1912550135114482</x:v>
      </x:c>
      <x:c r="N2" t="str">
        <x:f>IF(AND(I2&gt;=J2,M2&gt;=K2),"passes prelim","fails prelim")</x:f>
        <x:v>fails prelim</x:v>
      </x:c>
      <x:c r="O2" t="str"/>
    </x:row>
    <x:row r="3">
      <x:c r="A3" t="str">
        <x:v>HYD-P002</x:v>
      </x:c>
      <x:c r="B3" t="str">
        <x:v>P-CB15-MH17</x:v>
      </x:c>
      <x:c r="C3" t="n">
        <x:v>450</x:v>
      </x:c>
      <x:c r="D3" t="str">
        <x:v>RCP</x:v>
      </x:c>
      <x:c r="E3" t="n">
        <x:v>61</x:v>
      </x:c>
      <x:c r="F3" t="n">
        <x:v>101.93</x:v>
      </x:c>
      <x:c r="G3" t="n">
        <x:v>101.56</x:v>
      </x:c>
      <x:c r="H3" t="n">
        <x:v>0.61</x:v>
      </x:c>
      <x:c r="I3" t="n">
        <x:f>(F3-G3)/E3*100</x:f>
        <x:v>0.6065573770491878</x:v>
      </x:c>
      <x:c r="J3" t="n">
        <x:v>0.4</x:v>
      </x:c>
      <x:c r="K3" t="n">
        <x:f>Rational_Calcs!K19</x:f>
        <x:v>0.19535115599999997</x:v>
      </x:c>
      <x:c r="L3" t="n">
        <x:v>0.013</x:v>
      </x:c>
      <x:c r="M3" t="n">
        <x:f>(1/L3)*(PI()*(C3/1000)^2/4)*((C3/1000/4)^(2/3))*SQRT(H3/100)</x:f>
        <x:v>0.22267501440385756</x:v>
      </x:c>
      <x:c r="N3" t="str">
        <x:f>IF(AND(I3&gt;=J3,M3&gt;=K3),"passes prelim","fails prelim")</x:f>
        <x:v>passes prelim</x:v>
      </x:c>
      <x:c r="O3" t="str"/>
    </x:row>
    <x:row r="4">
      <x:c r="A4" t="str">
        <x:v>HYD-P003</x:v>
      </x:c>
      <x:c r="B4" t="str">
        <x:v>MH17-MH18</x:v>
      </x:c>
      <x:c r="C4" t="n">
        <x:v>600</x:v>
      </x:c>
      <x:c r="D4" t="str">
        <x:v>RCP</x:v>
      </x:c>
      <x:c r="E4" t="n">
        <x:v>58</x:v>
      </x:c>
      <x:c r="F4" t="n">
        <x:v>101.48</x:v>
      </x:c>
      <x:c r="G4" t="n">
        <x:v>101.34</x:v>
      </x:c>
      <x:c r="H4" t="n">
        <x:v>0.24</x:v>
      </x:c>
      <x:c r="I4" t="n">
        <x:f>(F4-G4)/E4*100</x:f>
        <x:v>0.24137931034482857</x:v>
      </x:c>
      <x:c r="J4" t="n">
        <x:v>0.25</x:v>
      </x:c>
      <x:c r="K4" t="n">
        <x:f>Rational_Calcs!K20</x:f>
        <x:v>0.14770139999999998</x:v>
      </x:c>
      <x:c r="L4" t="n">
        <x:v>0.013</x:v>
      </x:c>
      <x:c r="M4" t="n">
        <x:f>(1/L4)*(PI()*(C4/1000)^2/4)*((C4/1000/4)^(2/3))*SQRT(H4/100)</x:f>
        <x:v>0.300802995447453</x:v>
      </x:c>
      <x:c r="N4" t="str">
        <x:f>IF(AND(I4&gt;=J4,M4&gt;=K4),"passes prelim","fails prelim")</x:f>
        <x:v>fails prelim</x:v>
      </x:c>
      <x:c r="O4" t="str"/>
    </x:row>
    <x:row r="5">
      <x:c r="A5" t="str">
        <x:v>HYD-P004</x:v>
      </x:c>
      <x:c r="B5" t="str">
        <x:v>P-04</x:v>
      </x:c>
      <x:c r="C5" t="n">
        <x:v>450</x:v>
      </x:c>
      <x:c r="D5" t="str">
        <x:v>RCP</x:v>
      </x:c>
      <x:c r="E5" t="n">
        <x:v>49</x:v>
      </x:c>
      <x:c r="F5" t="n">
        <x:v>102.46</x:v>
      </x:c>
      <x:c r="G5" t="n">
        <x:v>102.31</x:v>
      </x:c>
      <x:c r="H5" t="n">
        <x:v>0.6000000000000001</x:v>
      </x:c>
      <x:c r="I5" t="n">
        <x:f>(F5-G5)/E5*100</x:f>
        <x:v>0.3061224489795744</x:v>
      </x:c>
      <x:c r="J5" t="n">
        <x:v>0.4</x:v>
      </x:c>
      <x:c r="K5" t="n">
        <x:f>Rational_Calcs!K5</x:f>
        <x:v>0.15027011999999998</x:v>
      </x:c>
      <x:c r="L5" t="n">
        <x:v>0.013</x:v>
      </x:c>
      <x:c r="M5" t="n">
        <x:f>(1/L5)*(PI()*(C5/1000)^2/4)*((C5/1000/4)^(2/3))*SQRT(H5/100)</x:f>
        <x:v>0.22084226706940024</x:v>
      </x:c>
      <x:c r="N5" t="str">
        <x:f>IF(AND(I5&gt;=J5,M5&gt;=K5),"passes prelim","fails prelim")</x:f>
        <x:v>fails prelim</x:v>
      </x:c>
      <x:c r="O5" t="str"/>
    </x:row>
    <x:row r="6">
      <x:c r="A6" t="str">
        <x:v>HYD-P005</x:v>
      </x:c>
      <x:c r="B6" t="str">
        <x:v>P-05</x:v>
      </x:c>
      <x:c r="C6" t="n">
        <x:v>375</x:v>
      </x:c>
      <x:c r="D6" t="str">
        <x:v>RCP</x:v>
      </x:c>
      <x:c r="E6" t="n">
        <x:v>50</x:v>
      </x:c>
      <x:c r="F6" t="n">
        <x:v>102.425</x:v>
      </x:c>
      <x:c r="G6" t="n">
        <x:v>102.275</x:v>
      </x:c>
      <x:c r="H6" t="n">
        <x:v>0.32</x:v>
      </x:c>
      <x:c r="I6" t="n">
        <x:f>(F6-G6)/E6*100</x:f>
        <x:v>0.29999999999998295</x:v>
      </x:c>
      <x:c r="J6" t="n">
        <x:v>0.5</x:v>
      </x:c>
      <x:c r="K6" t="n">
        <x:f>Rational_Calcs!K6</x:f>
        <x:v>0.14271408</x:v>
      </x:c>
      <x:c r="L6" t="n">
        <x:v>0.013</x:v>
      </x:c>
      <x:c r="M6" t="n">
        <x:f>(1/L6)*(PI()*(C6/1000)^2/4)*((C6/1000/4)^(2/3))*SQRT(H6/100)</x:f>
        <x:v>0.09918170532931729</x:v>
      </x:c>
      <x:c r="N6" t="str">
        <x:f>IF(AND(I6&gt;=J6,M6&gt;=K6),"passes prelim","fails prelim")</x:f>
        <x:v>fails prelim</x:v>
      </x:c>
      <x:c r="O6" t="str"/>
    </x:row>
    <x:row r="7">
      <x:c r="A7" t="str">
        <x:v>HYD-P006</x:v>
      </x:c>
      <x:c r="B7" t="str">
        <x:v>P-06</x:v>
      </x:c>
      <x:c r="C7" t="n">
        <x:v>450</x:v>
      </x:c>
      <x:c r="D7" t="str">
        <x:v>RCP</x:v>
      </x:c>
      <x:c r="E7" t="n">
        <x:v>51</x:v>
      </x:c>
      <x:c r="F7" t="n">
        <x:v>102.39</x:v>
      </x:c>
      <x:c r="G7" t="n">
        <x:v>102.24</x:v>
      </x:c>
      <x:c r="H7" t="n">
        <x:v>0.39</x:v>
      </x:c>
      <x:c r="I7" t="n">
        <x:f>(F7-G7)/E7*100</x:f>
        <x:v>0.2941176470588347</x:v>
      </x:c>
      <x:c r="J7" t="n">
        <x:v>0.4</x:v>
      </x:c>
      <x:c r="K7" t="n">
        <x:f>Rational_Calcs!K7</x:f>
        <x:v>0.15382963200000002</x:v>
      </x:c>
      <x:c r="L7" t="n">
        <x:v>0.013</x:v>
      </x:c>
      <x:c r="M7" t="n">
        <x:f>(1/L7)*(PI()*(C7/1000)^2/4)*((C7/1000/4)^(2/3))*SQRT(H7/100)</x:f>
        <x:v>0.178048727883209</x:v>
      </x:c>
      <x:c r="N7" t="str">
        <x:f>IF(AND(I7&gt;=J7,M7&gt;=K7),"passes prelim","fails prelim")</x:f>
        <x:v>fails prelim</x:v>
      </x:c>
      <x:c r="O7" t="str"/>
    </x:row>
    <x:row r="8">
      <x:c r="A8" t="str">
        <x:v>HYD-P007</x:v>
      </x:c>
      <x:c r="B8" t="str">
        <x:v>P-07</x:v>
      </x:c>
      <x:c r="C8" t="n">
        <x:v>375</x:v>
      </x:c>
      <x:c r="D8" t="str">
        <x:v>RCP</x:v>
      </x:c>
      <x:c r="E8" t="n">
        <x:v>52</x:v>
      </x:c>
      <x:c r="F8" t="n">
        <x:v>102.355</x:v>
      </x:c>
      <x:c r="G8" t="n">
        <x:v>102.205</x:v>
      </x:c>
      <x:c r="H8" t="n">
        <x:v>0.46</x:v>
      </x:c>
      <x:c r="I8" t="n">
        <x:f>(F8-G8)/E8*100</x:f>
        <x:v>0.2884615384615494</x:v>
      </x:c>
      <x:c r="J8" t="n">
        <x:v>0.5</x:v>
      </x:c>
      <x:c r="K8" t="n">
        <x:f>Rational_Calcs!K8</x:f>
        <x:v>0.04238388</x:v>
      </x:c>
      <x:c r="L8" t="n">
        <x:v>0.013</x:v>
      </x:c>
      <x:c r="M8" t="n">
        <x:f>(1/L8)*(PI()*(C8/1000)^2/4)*((C8/1000/4)^(2/3))*SQRT(H8/100)</x:f>
        <x:v>0.11891468723856326</x:v>
      </x:c>
      <x:c r="N8" t="str">
        <x:f>IF(AND(I8&gt;=J8,M8&gt;=K8),"passes prelim","fails prelim")</x:f>
        <x:v>fails prelim</x:v>
      </x:c>
      <x:c r="O8" t="str"/>
    </x:row>
    <x:row r="9">
      <x:c r="A9" t="str">
        <x:v>HYD-P008</x:v>
      </x:c>
      <x:c r="B9" t="str">
        <x:v>P-08</x:v>
      </x:c>
      <x:c r="C9" t="n">
        <x:v>450</x:v>
      </x:c>
      <x:c r="D9" t="str">
        <x:v>RCP</x:v>
      </x:c>
      <x:c r="E9" t="n">
        <x:v>53</x:v>
      </x:c>
      <x:c r="F9" t="n">
        <x:v>102.32</x:v>
      </x:c>
      <x:c r="G9" t="n">
        <x:v>102.17</x:v>
      </x:c>
      <x:c r="H9" t="n">
        <x:v>0.53</x:v>
      </x:c>
      <x:c r="I9" t="n">
        <x:f>(F9-G9)/E9*100</x:f>
        <x:v>0.2830188679245122</x:v>
      </x:c>
      <x:c r="J9" t="n">
        <x:v>0.4</x:v>
      </x:c>
      <x:c r="K9" t="n">
        <x:f>Rational_Calcs!K9</x:f>
        <x:v>0.07520011199999999</x:v>
      </x:c>
      <x:c r="L9" t="n">
        <x:v>0.013</x:v>
      </x:c>
      <x:c r="M9" t="n">
        <x:f>(1/L9)*(PI()*(C9/1000)^2/4)*((C9/1000/4)^(2/3))*SQRT(H9/100)</x:f>
        <x:v>0.20756040353716604</x:v>
      </x:c>
      <x:c r="N9" t="str">
        <x:f>IF(AND(I9&gt;=J9,M9&gt;=K9),"passes prelim","fails prelim")</x:f>
        <x:v>fails prelim</x:v>
      </x:c>
      <x:c r="O9" t="str"/>
    </x:row>
    <x:row r="10">
      <x:c r="A10" t="str">
        <x:v>HYD-P009</x:v>
      </x:c>
      <x:c r="B10" t="str">
        <x:v>P-09</x:v>
      </x:c>
      <x:c r="C10" t="n">
        <x:v>375</x:v>
      </x:c>
      <x:c r="D10" t="str">
        <x:v>RCP</x:v>
      </x:c>
      <x:c r="E10" t="n">
        <x:v>54</x:v>
      </x:c>
      <x:c r="F10" t="n">
        <x:v>102.285</x:v>
      </x:c>
      <x:c r="G10" t="n">
        <x:v>102.135</x:v>
      </x:c>
      <x:c r="H10" t="n">
        <x:v>0.6000000000000001</x:v>
      </x:c>
      <x:c r="I10" t="n">
        <x:f>(F10-G10)/E10*100</x:f>
        <x:v>0.277777777777762</x:v>
      </x:c>
      <x:c r="J10" t="n">
        <x:v>0.5</x:v>
      </x:c>
      <x:c r="K10" t="n">
        <x:f>Rational_Calcs!K10</x:f>
        <x:v>0.09387504</x:v>
      </x:c>
      <x:c r="L10" t="n">
        <x:v>0.013</x:v>
      </x:c>
      <x:c r="M10" t="n">
        <x:f>(1/L10)*(PI()*(C10/1000)^2/4)*((C10/1000/4)^(2/3))*SQRT(H10/100)</x:f>
        <x:v>0.1358101432517436</x:v>
      </x:c>
      <x:c r="N10" t="str">
        <x:f>IF(AND(I10&gt;=J10,M10&gt;=K10),"passes prelim","fails prelim")</x:f>
        <x:v>fails prelim</x:v>
      </x:c>
      <x:c r="O10" t="str"/>
    </x:row>
    <x:row r="11">
      <x:c r="A11" t="str">
        <x:v>HYD-P010</x:v>
      </x:c>
      <x:c r="B11" t="str">
        <x:v>P-10</x:v>
      </x:c>
      <x:c r="C11" t="n">
        <x:v>450</x:v>
      </x:c>
      <x:c r="D11" t="str">
        <x:v>RCP</x:v>
      </x:c>
      <x:c r="E11" t="n">
        <x:v>55</x:v>
      </x:c>
      <x:c r="F11" t="n">
        <x:v>102.25</x:v>
      </x:c>
      <x:c r="G11" t="n">
        <x:v>102.1</x:v>
      </x:c>
      <x:c r="H11" t="n">
        <x:v>0.32</x:v>
      </x:c>
      <x:c r="I11" t="n">
        <x:f>(F11-G11)/E11*100</x:f>
        <x:v>0.2727272727272831</x:v>
      </x:c>
      <x:c r="J11" t="n">
        <x:v>0.4</x:v>
      </x:c>
      <x:c r="K11" t="n">
        <x:f>Rational_Calcs!K11</x:f>
        <x:v>0.09441880799999999</x:v>
      </x:c>
      <x:c r="L11" t="n">
        <x:v>0.013</x:v>
      </x:c>
      <x:c r="M11" t="n">
        <x:f>(1/L11)*(PI()*(C11/1000)^2/4)*((C11/1000/4)^(2/3))*SQRT(H11/100)</x:f>
        <x:v>0.16128038843265444</x:v>
      </x:c>
      <x:c r="N11" t="str">
        <x:f>IF(AND(I11&gt;=J11,M11&gt;=K11),"passes prelim","fails prelim")</x:f>
        <x:v>fails prelim</x:v>
      </x:c>
      <x:c r="O11" t="str"/>
    </x:row>
    <x:row r="12">
      <x:c r="A12" t="str">
        <x:v>HYD-P011</x:v>
      </x:c>
      <x:c r="B12" t="str">
        <x:v>P-11</x:v>
      </x:c>
      <x:c r="C12" t="n">
        <x:v>375</x:v>
      </x:c>
      <x:c r="D12" t="str">
        <x:v>RCP</x:v>
      </x:c>
      <x:c r="E12" t="n">
        <x:v>56</x:v>
      </x:c>
      <x:c r="F12" t="n">
        <x:v>102.215</x:v>
      </x:c>
      <x:c r="G12" t="n">
        <x:v>102.065</x:v>
      </x:c>
      <x:c r="H12" t="n">
        <x:v>0.39</x:v>
      </x:c>
      <x:c r="I12" t="n">
        <x:f>(F12-G12)/E12*100</x:f>
        <x:v>0.267857142857153</x:v>
      </x:c>
      <x:c r="J12" t="n">
        <x:v>0.5</x:v>
      </x:c>
      <x:c r="K12" t="n">
        <x:f>Rational_Calcs!K12</x:f>
        <x:v>0.11625292799999999</x:v>
      </x:c>
      <x:c r="L12" t="n">
        <x:v>0.013</x:v>
      </x:c>
      <x:c r="M12" t="n">
        <x:f>(1/L12)*(PI()*(C12/1000)^2/4)*((C12/1000/4)^(2/3))*SQRT(H12/100)</x:f>
        <x:v>0.10949363797289058</x:v>
      </x:c>
      <x:c r="N12" t="str">
        <x:f>IF(AND(I12&gt;=J12,M12&gt;=K12),"passes prelim","fails prelim")</x:f>
        <x:v>fails prelim</x:v>
      </x:c>
      <x:c r="O12" t="str"/>
    </x:row>
    <x:row r="13">
      <x:c r="A13" t="str">
        <x:v>HYD-P012</x:v>
      </x:c>
      <x:c r="B13" t="str">
        <x:v>P-12</x:v>
      </x:c>
      <x:c r="C13" t="n">
        <x:v>450</x:v>
      </x:c>
      <x:c r="D13" t="str">
        <x:v>RCP</x:v>
      </x:c>
      <x:c r="E13" t="n">
        <x:v>57</x:v>
      </x:c>
      <x:c r="F13" t="n">
        <x:v>102.18</x:v>
      </x:c>
      <x:c r="G13" t="n">
        <x:v>102.03</x:v>
      </x:c>
      <x:c r="H13" t="n">
        <x:v>0.46</x:v>
      </x:c>
      <x:c r="I13" t="n">
        <x:f>(F13-G13)/E13*100</x:f>
        <x:v>0.2631578947368521</x:v>
      </x:c>
      <x:c r="J13" t="n">
        <x:v>0.4</x:v>
      </x:c>
      <x:c r="K13" t="n">
        <x:f>Rational_Calcs!K13</x:f>
        <x:v>0.16458156</x:v>
      </x:c>
      <x:c r="L13" t="n">
        <x:v>0.013</x:v>
      </x:c>
      <x:c r="M13" t="n">
        <x:f>(1/L13)*(PI()*(C13/1000)^2/4)*((C13/1000/4)^(2/3))*SQRT(H13/100)</x:f>
        <x:v>0.19336839273436107</x:v>
      </x:c>
      <x:c r="N13" t="str">
        <x:f>IF(AND(I13&gt;=J13,M13&gt;=K13),"passes prelim","fails prelim")</x:f>
        <x:v>fails prelim</x:v>
      </x:c>
      <x:c r="O13" t="str"/>
    </x:row>
    <x:row r="14">
      <x:c r="A14" t="str">
        <x:v>HYD-P013</x:v>
      </x:c>
      <x:c r="B14" t="str">
        <x:v>P-13</x:v>
      </x:c>
      <x:c r="C14" t="n">
        <x:v>375</x:v>
      </x:c>
      <x:c r="D14" t="str">
        <x:v>RCP</x:v>
      </x:c>
      <x:c r="E14" t="n">
        <x:v>58</x:v>
      </x:c>
      <x:c r="F14" t="n">
        <x:v>102.145</x:v>
      </x:c>
      <x:c r="G14" t="n">
        <x:v>101.995</x:v>
      </x:c>
      <x:c r="H14" t="n">
        <x:v>0.53</x:v>
      </x:c>
      <x:c r="I14" t="n">
        <x:f>(F14-G14)/E14*100</x:f>
        <x:v>0.2586206896551577</x:v>
      </x:c>
      <x:c r="J14" t="n">
        <x:v>0.5</x:v>
      </x:c>
      <x:c r="K14" t="n">
        <x:f>Rational_Calcs!K14</x:f>
        <x:v>0.178302528</x:v>
      </x:c>
      <x:c r="L14" t="n">
        <x:v>0.013</x:v>
      </x:c>
      <x:c r="M14" t="n">
        <x:f>(1/L14)*(PI()*(C14/1000)^2/4)*((C14/1000/4)^(2/3))*SQRT(H14/100)</x:f>
        <x:v>0.12764226935287626</x:v>
      </x:c>
      <x:c r="N14" t="str">
        <x:f>IF(AND(I14&gt;=J14,M14&gt;=K14),"passes prelim","fails prelim")</x:f>
        <x:v>fails prelim</x:v>
      </x:c>
      <x:c r="O14" t="str"/>
    </x:row>
    <x:row r="15">
      <x:c r="A15" t="str">
        <x:v>HYD-P014</x:v>
      </x:c>
      <x:c r="B15" t="str">
        <x:v>P-14</x:v>
      </x:c>
      <x:c r="C15" t="n">
        <x:v>450</x:v>
      </x:c>
      <x:c r="D15" t="str">
        <x:v>RCP</x:v>
      </x:c>
      <x:c r="E15" t="n">
        <x:v>59</x:v>
      </x:c>
      <x:c r="F15" t="n">
        <x:v>102.11</x:v>
      </x:c>
      <x:c r="G15" t="n">
        <x:v>101.96</x:v>
      </x:c>
      <x:c r="H15" t="n">
        <x:v>0.6000000000000001</x:v>
      </x:c>
      <x:c r="I15" t="n">
        <x:f>(F15-G15)/E15*100</x:f>
        <x:v>0.25423728813560287</x:v>
      </x:c>
      <x:c r="J15" t="n">
        <x:v>0.4</x:v>
      </x:c>
      <x:c r="K15" t="n">
        <x:f>Rational_Calcs!K15</x:f>
        <x:v>0.044952599999999995</x:v>
      </x:c>
      <x:c r="L15" t="n">
        <x:v>0.013</x:v>
      </x:c>
      <x:c r="M15" t="n">
        <x:f>(1/L15)*(PI()*(C15/1000)^2/4)*((C15/1000/4)^(2/3))*SQRT(H15/100)</x:f>
        <x:v>0.22084226706940024</x:v>
      </x:c>
      <x:c r="N15" t="str">
        <x:f>IF(AND(I15&gt;=J15,M15&gt;=K15),"passes prelim","fails prelim")</x:f>
        <x:v>fails prelim</x:v>
      </x:c>
      <x:c r="O15" t="str"/>
    </x:row>
    <x:row r="16">
      <x:c r="A16" t="str">
        <x:v>HYD-P015</x:v>
      </x:c>
      <x:c r="B16" t="str">
        <x:v>P-15</x:v>
      </x:c>
      <x:c r="C16" t="n">
        <x:v>375</x:v>
      </x:c>
      <x:c r="D16" t="str">
        <x:v>RCP</x:v>
      </x:c>
      <x:c r="E16" t="n">
        <x:v>60</x:v>
      </x:c>
      <x:c r="F16" t="n">
        <x:v>102.075</x:v>
      </x:c>
      <x:c r="G16" t="n">
        <x:v>101.925</x:v>
      </x:c>
      <x:c r="H16" t="n">
        <x:v>0.32</x:v>
      </x:c>
      <x:c r="I16" t="n">
        <x:f>(F16-G16)/E16*100</x:f>
        <x:v>0.25000000000000944</x:v>
      </x:c>
      <x:c r="J16" t="n">
        <x:v>0.5</x:v>
      </x:c>
      <x:c r="K16" t="n">
        <x:f>Rational_Calcs!K16</x:f>
        <x:v>0.05801637599999999</x:v>
      </x:c>
      <x:c r="L16" t="n">
        <x:v>0.013</x:v>
      </x:c>
      <x:c r="M16" t="n">
        <x:f>(1/L16)*(PI()*(C16/1000)^2/4)*((C16/1000/4)^(2/3))*SQRT(H16/100)</x:f>
        <x:v>0.09918170532931729</x:v>
      </x:c>
      <x:c r="N16" t="str">
        <x:f>IF(AND(I16&gt;=J16,M16&gt;=K16),"passes prelim","fails prelim")</x:f>
        <x:v>fails prelim</x:v>
      </x:c>
      <x:c r="O16" t="str"/>
    </x:row>
    <x:row r="17">
      <x:c r="A17" t="str">
        <x:v>HYD-P016</x:v>
      </x:c>
      <x:c r="B17" t="str">
        <x:v>P-16</x:v>
      </x:c>
      <x:c r="C17" t="n">
        <x:v>450</x:v>
      </x:c>
      <x:c r="D17" t="str">
        <x:v>RCP</x:v>
      </x:c>
      <x:c r="E17" t="n">
        <x:v>61</x:v>
      </x:c>
      <x:c r="F17" t="n">
        <x:v>102.04</x:v>
      </x:c>
      <x:c r="G17" t="n">
        <x:v>101.89</x:v>
      </x:c>
      <x:c r="H17" t="n">
        <x:v>0.39</x:v>
      </x:c>
      <x:c r="I17" t="n">
        <x:f>(F17-G17)/E17*100</x:f>
        <x:v>0.2459016393442716</x:v>
      </x:c>
      <x:c r="J17" t="n">
        <x:v>0.4</x:v>
      </x:c>
      <x:c r="K17" t="n">
        <x:f>Rational_Calcs!K17</x:f>
        <x:v>0.09298099200000001</x:v>
      </x:c>
      <x:c r="L17" t="n">
        <x:v>0.013</x:v>
      </x:c>
      <x:c r="M17" t="n">
        <x:f>(1/L17)*(PI()*(C17/1000)^2/4)*((C17/1000/4)^(2/3))*SQRT(H17/100)</x:f>
        <x:v>0.178048727883209</x:v>
      </x:c>
      <x:c r="N17" t="str">
        <x:f>IF(AND(I17&gt;=J17,M17&gt;=K17),"passes prelim","fails prelim")</x:f>
        <x:v>fails prelim</x:v>
      </x:c>
      <x:c r="O17" t="str"/>
    </x:row>
    <x:row r="18">
      <x:c r="A18" t="str">
        <x:v>HYD-P017</x:v>
      </x:c>
      <x:c r="B18" t="str">
        <x:v>P-17</x:v>
      </x:c>
      <x:c r="C18" t="n">
        <x:v>375</x:v>
      </x:c>
      <x:c r="D18" t="str">
        <x:v>RCP</x:v>
      </x:c>
      <x:c r="E18" t="n">
        <x:v>62</x:v>
      </x:c>
      <x:c r="F18" t="n">
        <x:v>102.005</x:v>
      </x:c>
      <x:c r="G18" t="n">
        <x:v>101.855</x:v>
      </x:c>
      <x:c r="H18" t="n">
        <x:v>0.46</x:v>
      </x:c>
      <x:c r="I18" t="n">
        <x:f>(F18-G18)/E18*100</x:f>
        <x:v>0.241935483870954</x:v>
      </x:c>
      <x:c r="J18" t="n">
        <x:v>0.5</x:v>
      </x:c>
      <x:c r="K18" t="n">
        <x:f>Rational_Calcs!K18</x:f>
        <x:v>0.21705683999999997</x:v>
      </x:c>
      <x:c r="L18" t="n">
        <x:v>0.013</x:v>
      </x:c>
      <x:c r="M18" t="n">
        <x:f>(1/L18)*(PI()*(C18/1000)^2/4)*((C18/1000/4)^(2/3))*SQRT(H18/100)</x:f>
        <x:v>0.11891468723856326</x:v>
      </x:c>
      <x:c r="N18" t="str">
        <x:f>IF(AND(I18&gt;=J18,M18&gt;=K18),"passes prelim","fails prelim")</x:f>
        <x:v>fails prelim</x:v>
      </x:c>
      <x:c r="O18" t="str"/>
    </x:row>
    <x:row r="19">
      <x:c r="A19" t="str">
        <x:v>HYD-P018</x:v>
      </x:c>
      <x:c r="B19" t="str">
        <x:v>P-18</x:v>
      </x:c>
      <x:c r="C19" t="n">
        <x:v>450</x:v>
      </x:c>
      <x:c r="D19" t="str">
        <x:v>RCP</x:v>
      </x:c>
      <x:c r="E19" t="n">
        <x:v>63</x:v>
      </x:c>
      <x:c r="F19" t="n">
        <x:v>101.97</x:v>
      </x:c>
      <x:c r="G19" t="n">
        <x:v>101.82</x:v>
      </x:c>
      <x:c r="H19" t="n">
        <x:v>0.53</x:v>
      </x:c>
      <x:c r="I19" t="n">
        <x:f>(F19-G19)/E19*100</x:f>
        <x:v>0.23809523809524713</x:v>
      </x:c>
      <x:c r="J19" t="n">
        <x:v>0.4</x:v>
      </x:c>
      <x:c r="K19" t="n">
        <x:f>Rational_Calcs!K19</x:f>
        <x:v>0.19535115599999997</x:v>
      </x:c>
      <x:c r="L19" t="n">
        <x:v>0.013</x:v>
      </x:c>
      <x:c r="M19" t="n">
        <x:f>(1/L19)*(PI()*(C19/1000)^2/4)*((C19/1000/4)^(2/3))*SQRT(H19/100)</x:f>
        <x:v>0.20756040353716604</x:v>
      </x:c>
      <x:c r="N19" t="str">
        <x:f>IF(AND(I19&gt;=J19,M19&gt;=K19),"passes prelim","fails prelim")</x:f>
        <x:v>fails prelim</x:v>
      </x:c>
      <x:c r="O19" t="str"/>
    </x:row>
    <x:row r="20">
      <x:c r="A20" t="str">
        <x:v>HYD-P019</x:v>
      </x:c>
      <x:c r="B20" t="str">
        <x:v>P-19</x:v>
      </x:c>
      <x:c r="C20" t="n">
        <x:v>375</x:v>
      </x:c>
      <x:c r="D20" t="str">
        <x:v>RCP</x:v>
      </x:c>
      <x:c r="E20" t="n">
        <x:v>64</x:v>
      </x:c>
      <x:c r="F20" t="n">
        <x:v>101.935</x:v>
      </x:c>
      <x:c r="G20" t="n">
        <x:v>101.785</x:v>
      </x:c>
      <x:c r="H20" t="n">
        <x:v>0.6000000000000001</x:v>
      </x:c>
      <x:c r="I20" t="n">
        <x:f>(F20-G20)/E20*100</x:f>
        <x:v>0.23437500000000888</x:v>
      </x:c>
      <x:c r="J20" t="n">
        <x:v>0.5</x:v>
      </x:c>
      <x:c r="K20" t="n">
        <x:f>Rational_Calcs!K20</x:f>
        <x:v>0.14770139999999998</x:v>
      </x:c>
      <x:c r="L20" t="n">
        <x:v>0.013</x:v>
      </x:c>
      <x:c r="M20" t="n">
        <x:f>(1/L20)*(PI()*(C20/1000)^2/4)*((C20/1000/4)^(2/3))*SQRT(H20/100)</x:f>
        <x:v>0.1358101432517436</x:v>
      </x:c>
      <x:c r="N20" t="str">
        <x:f>IF(AND(I20&gt;=J20,M20&gt;=K20),"passes prelim","fails prelim")</x:f>
        <x:v>fails prelim</x:v>
      </x:c>
      <x:c r="O20" t="str"/>
    </x:row>
    <x:row r="21">
      <x:c r="A21" t="str">
        <x:v>HYD-P020</x:v>
      </x:c>
      <x:c r="B21" t="str">
        <x:v>P-20</x:v>
      </x:c>
      <x:c r="C21" t="n">
        <x:v>450</x:v>
      </x:c>
      <x:c r="D21" t="str">
        <x:v>RCP</x:v>
      </x:c>
      <x:c r="E21" t="n">
        <x:v>65</x:v>
      </x:c>
      <x:c r="F21" t="n">
        <x:v>101.9</x:v>
      </x:c>
      <x:c r="G21" t="n">
        <x:v>101.75</x:v>
      </x:c>
      <x:c r="H21" t="n">
        <x:v>0.32</x:v>
      </x:c>
      <x:c r="I21" t="n">
        <x:f>(F21-G21)/E21*100</x:f>
        <x:v>0.2307692307692395</x:v>
      </x:c>
      <x:c r="J21" t="n">
        <x:v>0.4</x:v>
      </x:c>
      <x:c r="K21" t="n">
        <x:f>Rational_Calcs!K21</x:f>
        <x:v>0.055484352</x:v>
      </x:c>
      <x:c r="L21" t="n">
        <x:v>0.013</x:v>
      </x:c>
      <x:c r="M21" t="n">
        <x:f>(1/L21)*(PI()*(C21/1000)^2/4)*((C21/1000/4)^(2/3))*SQRT(H21/100)</x:f>
        <x:v>0.16128038843265444</x:v>
      </x:c>
      <x:c r="N21" t="str">
        <x:f>IF(AND(I21&gt;=J21,M21&gt;=K21),"passes prelim","fails prelim")</x:f>
        <x:v>fails prelim</x:v>
      </x:c>
      <x:c r="O21" t="str"/>
    </x:row>
    <x:row r="22">
      <x:c r="A22" t="str">
        <x:v>HYD-P021</x:v>
      </x:c>
      <x:c r="B22" t="str">
        <x:v>P-21</x:v>
      </x:c>
      <x:c r="C22" t="n">
        <x:v>375</x:v>
      </x:c>
      <x:c r="D22" t="str">
        <x:v>RCP</x:v>
      </x:c>
      <x:c r="E22" t="n">
        <x:v>66</x:v>
      </x:c>
      <x:c r="F22" t="n">
        <x:v>101.865</x:v>
      </x:c>
      <x:c r="G22" t="n">
        <x:v>101.715</x:v>
      </x:c>
      <x:c r="H22" t="n">
        <x:v>0.39</x:v>
      </x:c>
      <x:c r="I22" t="n">
        <x:f>(F22-G22)/E22*100</x:f>
        <x:v>0.22727272727271433</x:v>
      </x:c>
      <x:c r="J22" t="n">
        <x:v>0.5</x:v>
      </x:c>
      <x:c r="K22" t="n">
        <x:f>Rational_Calcs!K22</x:f>
        <x:v>0.044835839999999995</x:v>
      </x:c>
      <x:c r="L22" t="n">
        <x:v>0.013</x:v>
      </x:c>
      <x:c r="M22" t="n">
        <x:f>(1/L22)*(PI()*(C22/1000)^2/4)*((C22/1000/4)^(2/3))*SQRT(H22/100)</x:f>
        <x:v>0.10949363797289058</x:v>
      </x:c>
      <x:c r="N22" t="str">
        <x:f>IF(AND(I22&gt;=J22,M22&gt;=K22),"passes prelim","fails prelim")</x:f>
        <x:v>fails prelim</x:v>
      </x:c>
      <x:c r="O22" t="str"/>
    </x:row>
    <x:row r="23">
      <x:c r="A23" t="str">
        <x:v>HYD-P022</x:v>
      </x:c>
      <x:c r="B23" t="str">
        <x:v>P-22</x:v>
      </x:c>
      <x:c r="C23" t="n">
        <x:v>450</x:v>
      </x:c>
      <x:c r="D23" t="str">
        <x:v>RCP</x:v>
      </x:c>
      <x:c r="E23" t="n">
        <x:v>67</x:v>
      </x:c>
      <x:c r="F23" t="n">
        <x:v>101.83</x:v>
      </x:c>
      <x:c r="G23" t="n">
        <x:v>101.68</x:v>
      </x:c>
      <x:c r="H23" t="n">
        <x:v>0.46</x:v>
      </x:c>
      <x:c r="I23" t="n">
        <x:f>(F23-G23)/E23*100</x:f>
        <x:v>0.22388059701491264</x:v>
      </x:c>
      <x:c r="J23" t="n">
        <x:v>0.4</x:v>
      </x:c>
      <x:c r="K23" t="n">
        <x:f>Rational_Calcs!K23</x:f>
        <x:v>0.061759367999999995</x:v>
      </x:c>
      <x:c r="L23" t="n">
        <x:v>0.013</x:v>
      </x:c>
      <x:c r="M23" t="n">
        <x:f>(1/L23)*(PI()*(C23/1000)^2/4)*((C23/1000/4)^(2/3))*SQRT(H23/100)</x:f>
        <x:v>0.19336839273436107</x:v>
      </x:c>
      <x:c r="N23" t="str">
        <x:f>IF(AND(I23&gt;=J23,M23&gt;=K23),"passes prelim","fails prelim")</x:f>
        <x:v>fails prelim</x:v>
      </x:c>
      <x:c r="O23" t="str"/>
    </x:row>
    <x:row r="24">
      <x:c r="A24" t="str">
        <x:v>HYD-P023</x:v>
      </x:c>
      <x:c r="B24" t="str">
        <x:v>P-23</x:v>
      </x:c>
      <x:c r="C24" t="n">
        <x:v>375</x:v>
      </x:c>
      <x:c r="D24" t="str">
        <x:v>RCP</x:v>
      </x:c>
      <x:c r="E24" t="n">
        <x:v>68</x:v>
      </x:c>
      <x:c r="F24" t="n">
        <x:v>101.795</x:v>
      </x:c>
      <x:c r="G24" t="n">
        <x:v>101.645</x:v>
      </x:c>
      <x:c r="H24" t="n">
        <x:v>0.53</x:v>
      </x:c>
      <x:c r="I24" t="n">
        <x:f>(F24-G24)/E24*100</x:f>
        <x:v>0.22058823529412602</x:v>
      </x:c>
      <x:c r="J24" t="n">
        <x:v>0.5</x:v>
      </x:c>
      <x:c r="K24" t="n">
        <x:f>Rational_Calcs!K24</x:f>
        <x:v>0.083593488</x:v>
      </x:c>
      <x:c r="L24" t="n">
        <x:v>0.013</x:v>
      </x:c>
      <x:c r="M24" t="n">
        <x:f>(1/L24)*(PI()*(C24/1000)^2/4)*((C24/1000/4)^(2/3))*SQRT(H24/100)</x:f>
        <x:v>0.12764226935287626</x:v>
      </x:c>
      <x:c r="N24" t="str">
        <x:f>IF(AND(I24&gt;=J24,M24&gt;=K24),"passes prelim","fails prelim")</x:f>
        <x:v>fails prelim</x:v>
      </x:c>
      <x:c r="O2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880000114440918" hidden="0" customWidth="1"/>
    <x:col min="3" max="3" width="8.25" hidden="0" customWidth="1"/>
    <x:col min="4" max="4" width="15.380000114440918" hidden="0" customWidth="1"/>
    <x:col min="5" max="5" width="14" hidden="0" customWidth="1"/>
    <x:col min="6" max="6" width="12.5" hidden="0" customWidth="1"/>
    <x:col min="7" max="7" width="20.5" hidden="0" customWidth="1"/>
    <x:col min="8" max="8" width="19" hidden="0" customWidth="1"/>
    <x:col min="9" max="9" width="9.380000114440918" hidden="0" customWidth="1"/>
    <x:col min="10" max="10" width="10.5" hidden="0" customWidth="1"/>
    <x:col min="11" max="11" width="4.130000114440918" hidden="0" customWidth="1"/>
  </x:cols>
  <x:sheetData>
    <x:row r="1">
      <x:c r="A1" s="4" t="str">
        <x:v>source_id</x:v>
      </x:c>
      <x:c r="B1" s="4" t="str">
        <x:v>asset_id</x:v>
      </x:c>
      <x:c r="C1" s="4" t="str">
        <x:v>station_m</x:v>
      </x:c>
      <x:c r="D1" s="4" t="str">
        <x:v>gutter_low_elev_m</x:v>
      </x:c>
      <x:c r="E1" s="4" t="str">
        <x:v>spread_prelim_m</x:v>
      </x:c>
      <x:c r="F1" s="4" t="str">
        <x:v>spread_limit_m</x:v>
      </x:c>
      <x:c r="G1" s="4" t="str">
        <x:v>ponding_depth_prelim_m</x:v>
      </x:c>
      <x:c r="H1" s="4" t="str">
        <x:v>ponding_depth_limit_m</x:v>
      </x:c>
      <x:c r="I1" s="4" t="str">
        <x:v>spread_flag</x:v>
      </x:c>
      <x:c r="J1" s="4" t="str">
        <x:v>ponding_flag</x:v>
      </x:c>
      <x:c r="K1" s="4" t="str">
        <x:v>note</x:v>
      </x:c>
      <x:c r="L1" s="4"/>
      <x:c r="M1" s="4"/>
      <x:c r="N1" s="4"/>
      <x:c r="O1" s="4"/>
    </x:row>
    <x:row r="2">
      <x:c r="A2" t="str">
        <x:v>HYD-S001</x:v>
      </x:c>
      <x:c r="B2" t="str">
        <x:v>CB-01</x:v>
      </x:c>
      <x:c r="C2" t="n">
        <x:v>280</x:v>
      </x:c>
      <x:c r="D2" t="n">
        <x:v>103.318</x:v>
      </x:c>
      <x:c r="E2" t="n">
        <x:v>1.5999999999999999</x:v>
      </x:c>
      <x:c r="F2" t="n">
        <x:v>2.4</x:v>
      </x:c>
      <x:c r="G2" t="n">
        <x:v>0.08</x:v>
      </x:c>
      <x:c r="H2" t="n">
        <x:v>0.15</x:v>
      </x:c>
      <x:c r="I2" t="str">
        <x:f>IF(E2&gt;F2,"exceeds","ok")</x:f>
        <x:v>ok</x:v>
      </x:c>
      <x:c r="J2" t="str">
        <x:f>IF(G2&gt;H2,"exceeds","ok")</x:f>
        <x:v>ok</x:v>
      </x:c>
      <x:c r="K2" t="str">
        <x:v>Preliminary inlet spread check.</x:v>
      </x:c>
    </x:row>
    <x:row r="3">
      <x:c r="A3" t="str">
        <x:v>HYD-S002</x:v>
      </x:c>
      <x:c r="B3" t="str">
        <x:v>CB-02</x:v>
      </x:c>
      <x:c r="C3" t="n">
        <x:v>310</x:v>
      </x:c>
      <x:c r="D3" t="n">
        <x:v>103.299</x:v>
      </x:c>
      <x:c r="E3" t="n">
        <x:v>1.7999999999999998</x:v>
      </x:c>
      <x:c r="F3" t="n">
        <x:v>2.4</x:v>
      </x:c>
      <x:c r="G3" t="n">
        <x:v>0.1</x:v>
      </x:c>
      <x:c r="H3" t="n">
        <x:v>0.15</x:v>
      </x:c>
      <x:c r="I3" t="str">
        <x:f>IF(E3&gt;F3,"exceeds","ok")</x:f>
        <x:v>ok</x:v>
      </x:c>
      <x:c r="J3" t="str">
        <x:f>IF(G3&gt;H3,"exceeds","ok")</x:f>
        <x:v>ok</x:v>
      </x:c>
      <x:c r="K3" t="str">
        <x:v>Preliminary inlet spread check.</x:v>
      </x:c>
    </x:row>
    <x:row r="4">
      <x:c r="A4" t="str">
        <x:v>HYD-S003</x:v>
      </x:c>
      <x:c r="B4" t="str">
        <x:v>CB-03</x:v>
      </x:c>
      <x:c r="C4" t="n">
        <x:v>340</x:v>
      </x:c>
      <x:c r="D4" t="n">
        <x:v>103.279</x:v>
      </x:c>
      <x:c r="E4" t="n">
        <x:v>2</x:v>
      </x:c>
      <x:c r="F4" t="n">
        <x:v>2.4</x:v>
      </x:c>
      <x:c r="G4" t="n">
        <x:v>0.06</x:v>
      </x:c>
      <x:c r="H4" t="n">
        <x:v>0.15</x:v>
      </x:c>
      <x:c r="I4" t="str">
        <x:f>IF(E4&gt;F4,"exceeds","ok")</x:f>
        <x:v>ok</x:v>
      </x:c>
      <x:c r="J4" t="str">
        <x:f>IF(G4&gt;H4,"exceeds","ok")</x:f>
        <x:v>ok</x:v>
      </x:c>
      <x:c r="K4" t="str">
        <x:v>Preliminary inlet spread check.</x:v>
      </x:c>
    </x:row>
    <x:row r="5">
      <x:c r="A5" t="str">
        <x:v>HYD-S004</x:v>
      </x:c>
      <x:c r="B5" t="str">
        <x:v>CB-04</x:v>
      </x:c>
      <x:c r="C5" t="n">
        <x:v>370</x:v>
      </x:c>
      <x:c r="D5" t="n">
        <x:v>103.26</x:v>
      </x:c>
      <x:c r="E5" t="n">
        <x:v>2.2</x:v>
      </x:c>
      <x:c r="F5" t="n">
        <x:v>2.4</x:v>
      </x:c>
      <x:c r="G5" t="n">
        <x:v>0.08</x:v>
      </x:c>
      <x:c r="H5" t="n">
        <x:v>0.15</x:v>
      </x:c>
      <x:c r="I5" t="str">
        <x:f>IF(E5&gt;F5,"exceeds","ok")</x:f>
        <x:v>ok</x:v>
      </x:c>
      <x:c r="J5" t="str">
        <x:f>IF(G5&gt;H5,"exceeds","ok")</x:f>
        <x:v>ok</x:v>
      </x:c>
      <x:c r="K5" t="str">
        <x:v>Preliminary inlet spread check.</x:v>
      </x:c>
    </x:row>
    <x:row r="6">
      <x:c r="A6" t="str">
        <x:v>HYD-S005</x:v>
      </x:c>
      <x:c r="B6" t="str">
        <x:v>CB-05</x:v>
      </x:c>
      <x:c r="C6" t="n">
        <x:v>400</x:v>
      </x:c>
      <x:c r="D6" t="n">
        <x:v>103.24</x:v>
      </x:c>
      <x:c r="E6" t="n">
        <x:v>1.4</x:v>
      </x:c>
      <x:c r="F6" t="n">
        <x:v>2.4</x:v>
      </x:c>
      <x:c r="G6" t="n">
        <x:v>0.1</x:v>
      </x:c>
      <x:c r="H6" t="n">
        <x:v>0.15</x:v>
      </x:c>
      <x:c r="I6" t="str">
        <x:f>IF(E6&gt;F6,"exceeds","ok")</x:f>
        <x:v>ok</x:v>
      </x:c>
      <x:c r="J6" t="str">
        <x:f>IF(G6&gt;H6,"exceeds","ok")</x:f>
        <x:v>ok</x:v>
      </x:c>
      <x:c r="K6" t="str">
        <x:v>Preliminary inlet spread check.</x:v>
      </x:c>
    </x:row>
    <x:row r="7">
      <x:c r="A7" t="str">
        <x:v>HYD-S006</x:v>
      </x:c>
      <x:c r="B7" t="str">
        <x:v>CB-06</x:v>
      </x:c>
      <x:c r="C7" t="n">
        <x:v>430</x:v>
      </x:c>
      <x:c r="D7" t="n">
        <x:v>103.221</x:v>
      </x:c>
      <x:c r="E7" t="n">
        <x:v>1.5999999999999999</x:v>
      </x:c>
      <x:c r="F7" t="n">
        <x:v>2.4</x:v>
      </x:c>
      <x:c r="G7" t="n">
        <x:v>0.06</x:v>
      </x:c>
      <x:c r="H7" t="n">
        <x:v>0.15</x:v>
      </x:c>
      <x:c r="I7" t="str">
        <x:f>IF(E7&gt;F7,"exceeds","ok")</x:f>
        <x:v>ok</x:v>
      </x:c>
      <x:c r="J7" t="str">
        <x:f>IF(G7&gt;H7,"exceeds","ok")</x:f>
        <x:v>ok</x:v>
      </x:c>
      <x:c r="K7" t="str">
        <x:v>Preliminary inlet spread check.</x:v>
      </x:c>
    </x:row>
    <x:row r="8">
      <x:c r="A8" t="str">
        <x:v>HYD-S007</x:v>
      </x:c>
      <x:c r="B8" t="str">
        <x:v>CB-07</x:v>
      </x:c>
      <x:c r="C8" t="n">
        <x:v>460</x:v>
      </x:c>
      <x:c r="D8" t="n">
        <x:v>103.201</x:v>
      </x:c>
      <x:c r="E8" t="n">
        <x:v>1.7999999999999998</x:v>
      </x:c>
      <x:c r="F8" t="n">
        <x:v>2.4</x:v>
      </x:c>
      <x:c r="G8" t="n">
        <x:v>0.08</x:v>
      </x:c>
      <x:c r="H8" t="n">
        <x:v>0.15</x:v>
      </x:c>
      <x:c r="I8" t="str">
        <x:f>IF(E8&gt;F8,"exceeds","ok")</x:f>
        <x:v>ok</x:v>
      </x:c>
      <x:c r="J8" t="str">
        <x:f>IF(G8&gt;H8,"exceeds","ok")</x:f>
        <x:v>ok</x:v>
      </x:c>
      <x:c r="K8" t="str">
        <x:v>Preliminary inlet spread check.</x:v>
      </x:c>
    </x:row>
    <x:row r="9">
      <x:c r="A9" t="str">
        <x:v>HYD-S008</x:v>
      </x:c>
      <x:c r="B9" t="str">
        <x:v>CB-08</x:v>
      </x:c>
      <x:c r="C9" t="n">
        <x:v>490</x:v>
      </x:c>
      <x:c r="D9" t="n">
        <x:v>103.181</x:v>
      </x:c>
      <x:c r="E9" t="n">
        <x:v>2</x:v>
      </x:c>
      <x:c r="F9" t="n">
        <x:v>2.4</x:v>
      </x:c>
      <x:c r="G9" t="n">
        <x:v>0.1</x:v>
      </x:c>
      <x:c r="H9" t="n">
        <x:v>0.15</x:v>
      </x:c>
      <x:c r="I9" t="str">
        <x:f>IF(E9&gt;F9,"exceeds","ok")</x:f>
        <x:v>ok</x:v>
      </x:c>
      <x:c r="J9" t="str">
        <x:f>IF(G9&gt;H9,"exceeds","ok")</x:f>
        <x:v>ok</x:v>
      </x:c>
      <x:c r="K9" t="str">
        <x:v>Preliminary inlet spread check.</x:v>
      </x:c>
    </x:row>
    <x:row r="10">
      <x:c r="A10" t="str">
        <x:v>HYD-S009</x:v>
      </x:c>
      <x:c r="B10" t="str">
        <x:v>CB-09</x:v>
      </x:c>
      <x:c r="C10" t="n">
        <x:v>520</x:v>
      </x:c>
      <x:c r="D10" t="n">
        <x:v>103.162</x:v>
      </x:c>
      <x:c r="E10" t="n">
        <x:v>2.2</x:v>
      </x:c>
      <x:c r="F10" t="n">
        <x:v>2.4</x:v>
      </x:c>
      <x:c r="G10" t="n">
        <x:v>0.06</x:v>
      </x:c>
      <x:c r="H10" t="n">
        <x:v>0.15</x:v>
      </x:c>
      <x:c r="I10" t="str">
        <x:f>IF(E10&gt;F10,"exceeds","ok")</x:f>
        <x:v>ok</x:v>
      </x:c>
      <x:c r="J10" t="str">
        <x:f>IF(G10&gt;H10,"exceeds","ok")</x:f>
        <x:v>ok</x:v>
      </x:c>
      <x:c r="K10" t="str">
        <x:v>Preliminary inlet spread check.</x:v>
      </x:c>
    </x:row>
    <x:row r="11">
      <x:c r="A11" t="str">
        <x:v>HYD-S010</x:v>
      </x:c>
      <x:c r="B11" t="str">
        <x:v>CB-10</x:v>
      </x:c>
      <x:c r="C11" t="n">
        <x:v>550</x:v>
      </x:c>
      <x:c r="D11" t="n">
        <x:v>103.142</x:v>
      </x:c>
      <x:c r="E11" t="n">
        <x:v>1.4</x:v>
      </x:c>
      <x:c r="F11" t="n">
        <x:v>2.4</x:v>
      </x:c>
      <x:c r="G11" t="n">
        <x:v>0.08</x:v>
      </x:c>
      <x:c r="H11" t="n">
        <x:v>0.15</x:v>
      </x:c>
      <x:c r="I11" t="str">
        <x:f>IF(E11&gt;F11,"exceeds","ok")</x:f>
        <x:v>ok</x:v>
      </x:c>
      <x:c r="J11" t="str">
        <x:f>IF(G11&gt;H11,"exceeds","ok")</x:f>
        <x:v>ok</x:v>
      </x:c>
      <x:c r="K11" t="str">
        <x:v>Preliminary inlet spread check.</x:v>
      </x:c>
    </x:row>
    <x:row r="12">
      <x:c r="A12" t="str">
        <x:v>HYD-S011</x:v>
      </x:c>
      <x:c r="B12" t="str">
        <x:v>CB-11</x:v>
      </x:c>
      <x:c r="C12" t="n">
        <x:v>580</x:v>
      </x:c>
      <x:c r="D12" t="n">
        <x:v>103.123</x:v>
      </x:c>
      <x:c r="E12" t="n">
        <x:v>1.5999999999999999</x:v>
      </x:c>
      <x:c r="F12" t="n">
        <x:v>2.4</x:v>
      </x:c>
      <x:c r="G12" t="n">
        <x:v>0.1</x:v>
      </x:c>
      <x:c r="H12" t="n">
        <x:v>0.15</x:v>
      </x:c>
      <x:c r="I12" t="str">
        <x:f>IF(E12&gt;F12,"exceeds","ok")</x:f>
        <x:v>ok</x:v>
      </x:c>
      <x:c r="J12" t="str">
        <x:f>IF(G12&gt;H12,"exceeds","ok")</x:f>
        <x:v>ok</x:v>
      </x:c>
      <x:c r="K12" t="str">
        <x:v>Preliminary inlet spread check.</x:v>
      </x:c>
    </x:row>
    <x:row r="13">
      <x:c r="A13" t="str">
        <x:v>HYD-S012</x:v>
      </x:c>
      <x:c r="B13" t="str">
        <x:v>CB-12</x:v>
      </x:c>
      <x:c r="C13" t="n">
        <x:v>610</x:v>
      </x:c>
      <x:c r="D13" t="n">
        <x:v>103.103</x:v>
      </x:c>
      <x:c r="E13" t="n">
        <x:v>1.7999999999999998</x:v>
      </x:c>
      <x:c r="F13" t="n">
        <x:v>2.4</x:v>
      </x:c>
      <x:c r="G13" t="n">
        <x:v>0.06</x:v>
      </x:c>
      <x:c r="H13" t="n">
        <x:v>0.15</x:v>
      </x:c>
      <x:c r="I13" t="str">
        <x:f>IF(E13&gt;F13,"exceeds","ok")</x:f>
        <x:v>ok</x:v>
      </x:c>
      <x:c r="J13" t="str">
        <x:f>IF(G13&gt;H13,"exceeds","ok")</x:f>
        <x:v>ok</x:v>
      </x:c>
      <x:c r="K13" t="str">
        <x:v>Preliminary inlet spread check.</x:v>
      </x:c>
    </x:row>
    <x:row r="14">
      <x:c r="A14" t="str">
        <x:v>HYD-S013</x:v>
      </x:c>
      <x:c r="B14" t="str">
        <x:v>CB-13</x:v>
      </x:c>
      <x:c r="C14" t="n">
        <x:v>640</x:v>
      </x:c>
      <x:c r="D14" t="n">
        <x:v>103.084</x:v>
      </x:c>
      <x:c r="E14" t="n">
        <x:v>2</x:v>
      </x:c>
      <x:c r="F14" t="n">
        <x:v>2.4</x:v>
      </x:c>
      <x:c r="G14" t="n">
        <x:v>0.08</x:v>
      </x:c>
      <x:c r="H14" t="n">
        <x:v>0.15</x:v>
      </x:c>
      <x:c r="I14" t="str">
        <x:f>IF(E14&gt;F14,"exceeds","ok")</x:f>
        <x:v>ok</x:v>
      </x:c>
      <x:c r="J14" t="str">
        <x:f>IF(G14&gt;H14,"exceeds","ok")</x:f>
        <x:v>ok</x:v>
      </x:c>
      <x:c r="K14" t="str">
        <x:v>Preliminary inlet spread check.</x:v>
      </x:c>
    </x:row>
    <x:row r="15">
      <x:c r="A15" t="str">
        <x:v>HYD-S014</x:v>
      </x:c>
      <x:c r="B15" t="str">
        <x:v>CB-14</x:v>
      </x:c>
      <x:c r="C15" t="n">
        <x:v>670</x:v>
      </x:c>
      <x:c r="D15" t="n">
        <x:v>103.064</x:v>
      </x:c>
      <x:c r="E15" t="n">
        <x:v>2.2</x:v>
      </x:c>
      <x:c r="F15" t="n">
        <x:v>2.4</x:v>
      </x:c>
      <x:c r="G15" t="n">
        <x:v>0.1</x:v>
      </x:c>
      <x:c r="H15" t="n">
        <x:v>0.15</x:v>
      </x:c>
      <x:c r="I15" t="str">
        <x:f>IF(E15&gt;F15,"exceeds","ok")</x:f>
        <x:v>ok</x:v>
      </x:c>
      <x:c r="J15" t="str">
        <x:f>IF(G15&gt;H15,"exceeds","ok")</x:f>
        <x:v>ok</x:v>
      </x:c>
      <x:c r="K15" t="str">
        <x:v>Preliminary inlet spread check.</x:v>
      </x:c>
    </x:row>
    <x:row r="16">
      <x:c r="A16" t="str">
        <x:v>HYD-S015</x:v>
      </x:c>
      <x:c r="B16" t="str">
        <x:v>CB-15</x:v>
      </x:c>
      <x:c r="C16" t="n">
        <x:v>700</x:v>
      </x:c>
      <x:c r="D16" t="n">
        <x:v>103.045</x:v>
      </x:c>
      <x:c r="E16" t="n">
        <x:v>1.4</x:v>
      </x:c>
      <x:c r="F16" t="n">
        <x:v>2.4</x:v>
      </x:c>
      <x:c r="G16" t="n">
        <x:v>0.06</x:v>
      </x:c>
      <x:c r="H16" t="n">
        <x:v>0.15</x:v>
      </x:c>
      <x:c r="I16" t="str">
        <x:f>IF(E16&gt;F16,"exceeds","ok")</x:f>
        <x:v>ok</x:v>
      </x:c>
      <x:c r="J16" t="str">
        <x:f>IF(G16&gt;H16,"exceeds","ok")</x:f>
        <x:v>ok</x:v>
      </x:c>
      <x:c r="K16" t="str">
        <x:v>Preliminary inlet spread check.</x:v>
      </x:c>
    </x:row>
    <x:row r="17">
      <x:c r="A17" t="str">
        <x:v>HYD-S016</x:v>
      </x:c>
      <x:c r="B17" t="str">
        <x:v>CB-16</x:v>
      </x:c>
      <x:c r="C17" t="n">
        <x:v>730</x:v>
      </x:c>
      <x:c r="D17" t="n">
        <x:v>103.025</x:v>
      </x:c>
      <x:c r="E17" t="n">
        <x:v>1.5999999999999999</x:v>
      </x:c>
      <x:c r="F17" t="n">
        <x:v>2.4</x:v>
      </x:c>
      <x:c r="G17" t="n">
        <x:v>0.08</x:v>
      </x:c>
      <x:c r="H17" t="n">
        <x:v>0.15</x:v>
      </x:c>
      <x:c r="I17" t="str">
        <x:f>IF(E17&gt;F17,"exceeds","ok")</x:f>
        <x:v>ok</x:v>
      </x:c>
      <x:c r="J17" t="str">
        <x:f>IF(G17&gt;H17,"exceeds","ok")</x:f>
        <x:v>ok</x:v>
      </x:c>
      <x:c r="K17" t="str">
        <x:v>Preliminary inlet spread check.</x:v>
      </x:c>
    </x:row>
    <x:row r="18">
      <x:c r="A18" t="str">
        <x:v>HYD-S017</x:v>
      </x:c>
      <x:c r="B18" t="str">
        <x:v>CB-17</x:v>
      </x:c>
      <x:c r="C18" t="n">
        <x:v>735.4</x:v>
      </x:c>
      <x:c r="D18" t="n">
        <x:v>103.022</x:v>
      </x:c>
      <x:c r="E18" t="n">
        <x:v>2.9</x:v>
      </x:c>
      <x:c r="F18" t="n">
        <x:v>2.4</x:v>
      </x:c>
      <x:c r="G18" t="n">
        <x:v>0.19</x:v>
      </x:c>
      <x:c r="H18" t="n">
        <x:v>0.15</x:v>
      </x:c>
      <x:c r="I18" t="str">
        <x:f>IF(E18&gt;F18,"exceeds","ok")</x:f>
        <x:v>exceeds</x:v>
      </x:c>
      <x:c r="J18" t="str">
        <x:f>IF(G18&gt;H18,"exceeds","ok")</x:f>
        <x:v>exceeds</x:v>
      </x:c>
      <x:c r="K18" t="str">
        <x:v>Sag-point over-spread</x:v>
      </x:c>
    </x:row>
    <x:row r="19">
      <x:c r="A19" t="str">
        <x:v>HYD-S018</x:v>
      </x:c>
      <x:c r="B19" t="str">
        <x:v>CB-18</x:v>
      </x:c>
      <x:c r="C19" t="n">
        <x:v>790</x:v>
      </x:c>
      <x:c r="D19" t="n">
        <x:v>102.987</x:v>
      </x:c>
      <x:c r="E19" t="n">
        <x:v>2</x:v>
      </x:c>
      <x:c r="F19" t="n">
        <x:v>2.4</x:v>
      </x:c>
      <x:c r="G19" t="n">
        <x:v>0.06</x:v>
      </x:c>
      <x:c r="H19" t="n">
        <x:v>0.15</x:v>
      </x:c>
      <x:c r="I19" t="str">
        <x:f>IF(E19&gt;F19,"exceeds","ok")</x:f>
        <x:v>ok</x:v>
      </x:c>
      <x:c r="J19" t="str">
        <x:f>IF(G19&gt;H19,"exceeds","ok")</x:f>
        <x:v>ok</x:v>
      </x:c>
      <x:c r="K19" t="str">
        <x:v>Preliminary inlet spread check.</x:v>
      </x:c>
    </x:row>
    <x:row r="20">
      <x:c r="A20" t="str">
        <x:v>HYD-S019</x:v>
      </x:c>
      <x:c r="B20" t="str">
        <x:v>CB-19</x:v>
      </x:c>
      <x:c r="C20" t="n">
        <x:v>820</x:v>
      </x:c>
      <x:c r="D20" t="n">
        <x:v>102.967</x:v>
      </x:c>
      <x:c r="E20" t="n">
        <x:v>2.2</x:v>
      </x:c>
      <x:c r="F20" t="n">
        <x:v>2.4</x:v>
      </x:c>
      <x:c r="G20" t="n">
        <x:v>0.08</x:v>
      </x:c>
      <x:c r="H20" t="n">
        <x:v>0.15</x:v>
      </x:c>
      <x:c r="I20" t="str">
        <x:f>IF(E20&gt;F20,"exceeds","ok")</x:f>
        <x:v>ok</x:v>
      </x:c>
      <x:c r="J20" t="str">
        <x:f>IF(G20&gt;H20,"exceeds","ok")</x:f>
        <x:v>ok</x:v>
      </x:c>
      <x:c r="K20" t="str">
        <x:v>Preliminary inlet spread check.</x:v>
      </x:c>
    </x:row>
    <x:row r="21">
      <x:c r="A21" t="str">
        <x:v>HYD-S020</x:v>
      </x:c>
      <x:c r="B21" t="str">
        <x:v>CB-20</x:v>
      </x:c>
      <x:c r="C21" t="n">
        <x:v>850</x:v>
      </x:c>
      <x:c r="D21" t="n">
        <x:v>102.948</x:v>
      </x:c>
      <x:c r="E21" t="n">
        <x:v>1.4</x:v>
      </x:c>
      <x:c r="F21" t="n">
        <x:v>2.4</x:v>
      </x:c>
      <x:c r="G21" t="n">
        <x:v>0.1</x:v>
      </x:c>
      <x:c r="H21" t="n">
        <x:v>0.15</x:v>
      </x:c>
      <x:c r="I21" t="str">
        <x:f>IF(E21&gt;F21,"exceeds","ok")</x:f>
        <x:v>ok</x:v>
      </x:c>
      <x:c r="J21" t="str">
        <x:f>IF(G21&gt;H21,"exceeds","ok")</x:f>
        <x:v>ok</x:v>
      </x:c>
      <x:c r="K21" t="str">
        <x:v>Preliminary inlet spread check.</x:v>
      </x:c>
    </x:row>
    <x:row r="22">
      <x:c r="A22" t="str">
        <x:v>HYD-S021</x:v>
      </x:c>
      <x:c r="B22" t="str">
        <x:v>CB-21</x:v>
      </x:c>
      <x:c r="C22" t="n">
        <x:v>880</x:v>
      </x:c>
      <x:c r="D22" t="n">
        <x:v>102.928</x:v>
      </x:c>
      <x:c r="E22" t="n">
        <x:v>1.5999999999999999</x:v>
      </x:c>
      <x:c r="F22" t="n">
        <x:v>2.4</x:v>
      </x:c>
      <x:c r="G22" t="n">
        <x:v>0.06</x:v>
      </x:c>
      <x:c r="H22" t="n">
        <x:v>0.15</x:v>
      </x:c>
      <x:c r="I22" t="str">
        <x:f>IF(E22&gt;F22,"exceeds","ok")</x:f>
        <x:v>ok</x:v>
      </x:c>
      <x:c r="J22" t="str">
        <x:f>IF(G22&gt;H22,"exceeds","ok")</x:f>
        <x:v>ok</x:v>
      </x:c>
      <x:c r="K22" t="str">
        <x:v>Preliminary inlet spread check.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4" hidden="0" customWidth="1"/>
    <x:col min="3" max="3" width="4.630000114440918" hidden="0" customWidth="1"/>
    <x:col min="4" max="4" width="9.880000114440918" hidden="0" customWidth="1"/>
    <x:col min="5" max="5" width="14.880000114440918" hidden="0" customWidth="1"/>
  </x:cols>
  <x:sheetData>
    <x:row r="1">
      <x:c r="A1" s="4" t="str">
        <x:v>source_id</x:v>
      </x:c>
      <x:c r="B1" s="4" t="str">
        <x:v>date</x:v>
      </x:c>
      <x:c r="C1" s="4" t="str">
        <x:v>entry</x:v>
      </x:c>
      <x:c r="D1" s="4" t="str">
        <x:v>conflict_flag</x:v>
      </x:c>
      <x:c r="E1" s="4" t="str">
        <x:v>resolution_needed</x:v>
      </x:c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t="str">
        <x:v>HYD-R001</x:v>
      </x:c>
      <x:c r="B2" t="str">
        <x:v>2026-05-03</x:v>
      </x:c>
      <x:c r="C2" t="str">
        <x:v>Preliminary run used 10-year intensity of 72 mm/h for CB-14 sag point.</x:v>
      </x:c>
      <x:c r="D2" t="str">
        <x:v>yes</x:v>
      </x:c>
      <x:c r="E2" t="str">
        <x:v>Compare to city criteria for urban collector sag point.</x:v>
      </x:c>
    </x:row>
    <x:row r="3">
      <x:c r="A3" t="str">
        <x:v>HYD-R002</x:v>
      </x:c>
      <x:c r="B3" t="str">
        <x:v>2026-05-04</x:v>
      </x:c>
      <x:c r="C3" t="str">
        <x:v>Profile note lists CB-14 to MH-17 pipe slope as 0.45 percent.</x:v>
      </x:c>
      <x:c r="D3" t="str">
        <x:v>yes</x:v>
      </x:c>
      <x:c r="E3" t="str">
        <x:v>Compare with survey-derived slope from signed invert shots.</x:v>
      </x:c>
    </x:row>
    <x:row r="4">
      <x:c r="A4" t="str">
        <x:v>HYD-R003</x:v>
      </x:c>
      <x:c r="B4" t="str">
        <x:v>2026-05-05</x:v>
      </x:c>
      <x:c r="C4" t="str">
        <x:v>Hydrology worksheet treats gas clearance as 0.35 m based on assumed cover.</x:v>
      </x:c>
      <x:c r="D4" t="str">
        <x:v>yes</x:v>
      </x:c>
      <x:c r="E4" t="str">
        <x:v>Utility clearance requires confirmed gas depth.</x:v>
      </x:c>
    </x:row>
    <x:row r="5">
      <x:c r="A5" t="str">
        <x:v>HYD-R004</x:v>
      </x:c>
      <x:c r="B5" t="str">
        <x:v>2026-05-06</x:v>
      </x:c>
      <x:c r="C5" t="str">
        <x:v>No density or blockage allowance applied for sediment in CB-14 barrel.</x:v>
      </x:c>
      <x:c r="D5" t="str">
        <x:v>no</x:v>
      </x:c>
      <x:c r="E5" t="str">
        <x:v>Inspection log provides condition context.</x:v>
      </x:c>
    </x:row>
  </x:sheetData>
  <x:pageMargins left="0.7" right="0.7" top="0.75" bottom="0.75" header="0.3" footer="0.3"/>
</x:worksheet>
</file>